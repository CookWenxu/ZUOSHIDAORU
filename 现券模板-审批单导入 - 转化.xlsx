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09794e4fe93ee822/Desktop/做市导入/"/>
    </mc:Choice>
  </mc:AlternateContent>
  <xr:revisionPtr revIDLastSave="36" documentId="13_ncr:1_{92E9F756-B37D-4BB2-9EC9-C67D666D462E}" xr6:coauthVersionLast="47" xr6:coauthVersionMax="47" xr10:uidLastSave="{3EACFAE8-7BB9-4D8A-BE83-6287F9C693B1}"/>
  <bookViews>
    <workbookView xWindow="-98" yWindow="-98" windowWidth="21795" windowHeight="12975" tabRatio="500" xr2:uid="{3A6619AF-2AA4-41DE-A220-9805B26F6DB2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G38" i="1"/>
  <c r="H38" i="1"/>
  <c r="J38" i="1"/>
  <c r="L38" i="1"/>
  <c r="M38" i="1"/>
  <c r="AR38" i="1"/>
  <c r="F39" i="1"/>
  <c r="G39" i="1"/>
  <c r="H39" i="1"/>
  <c r="J39" i="1"/>
  <c r="L39" i="1"/>
  <c r="M39" i="1"/>
  <c r="AR39" i="1"/>
  <c r="F40" i="1"/>
  <c r="G40" i="1"/>
  <c r="H40" i="1"/>
  <c r="J40" i="1"/>
  <c r="L40" i="1"/>
  <c r="M40" i="1"/>
  <c r="AR40" i="1"/>
  <c r="F29" i="1"/>
  <c r="G29" i="1"/>
  <c r="H29" i="1"/>
  <c r="J29" i="1"/>
  <c r="L29" i="1"/>
  <c r="M29" i="1"/>
  <c r="AR29" i="1"/>
  <c r="F30" i="1"/>
  <c r="G30" i="1"/>
  <c r="H30" i="1"/>
  <c r="J30" i="1"/>
  <c r="L30" i="1"/>
  <c r="M30" i="1"/>
  <c r="AR30" i="1"/>
  <c r="F31" i="1"/>
  <c r="G31" i="1"/>
  <c r="H31" i="1"/>
  <c r="J31" i="1"/>
  <c r="L31" i="1"/>
  <c r="M31" i="1"/>
  <c r="AR31" i="1"/>
  <c r="F32" i="1"/>
  <c r="G32" i="1"/>
  <c r="H32" i="1"/>
  <c r="J32" i="1"/>
  <c r="L32" i="1"/>
  <c r="M32" i="1"/>
  <c r="AR32" i="1"/>
  <c r="F33" i="1"/>
  <c r="G33" i="1"/>
  <c r="H33" i="1"/>
  <c r="J33" i="1"/>
  <c r="L33" i="1"/>
  <c r="M33" i="1"/>
  <c r="AR33" i="1"/>
  <c r="F34" i="1"/>
  <c r="G34" i="1"/>
  <c r="H34" i="1"/>
  <c r="J34" i="1"/>
  <c r="L34" i="1"/>
  <c r="M34" i="1"/>
  <c r="AR34" i="1"/>
  <c r="F35" i="1"/>
  <c r="G35" i="1"/>
  <c r="H35" i="1"/>
  <c r="J35" i="1"/>
  <c r="L35" i="1"/>
  <c r="M35" i="1"/>
  <c r="AR35" i="1"/>
  <c r="F36" i="1"/>
  <c r="G36" i="1"/>
  <c r="H36" i="1"/>
  <c r="J36" i="1"/>
  <c r="L36" i="1"/>
  <c r="M36" i="1"/>
  <c r="AR36" i="1"/>
  <c r="F37" i="1"/>
  <c r="G37" i="1"/>
  <c r="H37" i="1"/>
  <c r="J37" i="1"/>
  <c r="L37" i="1"/>
  <c r="M37" i="1"/>
  <c r="AR37" i="1"/>
  <c r="AR28" i="1"/>
  <c r="M28" i="1"/>
  <c r="L28" i="1"/>
  <c r="J28" i="1"/>
  <c r="H28" i="1"/>
  <c r="G28" i="1"/>
  <c r="F28" i="1"/>
  <c r="AR27" i="1"/>
  <c r="M27" i="1"/>
  <c r="L27" i="1"/>
  <c r="J27" i="1"/>
  <c r="H27" i="1"/>
  <c r="G27" i="1"/>
  <c r="F27" i="1"/>
  <c r="AR26" i="1"/>
  <c r="M26" i="1"/>
  <c r="L26" i="1"/>
  <c r="J26" i="1"/>
  <c r="H26" i="1"/>
  <c r="G26" i="1"/>
  <c r="F2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  <c r="F20" i="1"/>
  <c r="G20" i="1"/>
  <c r="L20" i="1"/>
  <c r="M20" i="1"/>
  <c r="AR20" i="1"/>
  <c r="F21" i="1"/>
  <c r="G21" i="1"/>
  <c r="L21" i="1"/>
  <c r="M21" i="1"/>
  <c r="AR21" i="1"/>
  <c r="F22" i="1"/>
  <c r="G22" i="1"/>
  <c r="L22" i="1"/>
  <c r="M22" i="1"/>
  <c r="AR22" i="1"/>
  <c r="F23" i="1"/>
  <c r="G23" i="1"/>
  <c r="L23" i="1"/>
  <c r="M23" i="1"/>
  <c r="AR23" i="1"/>
  <c r="F24" i="1"/>
  <c r="G24" i="1"/>
  <c r="L24" i="1"/>
  <c r="M24" i="1"/>
  <c r="AR24" i="1"/>
  <c r="F25" i="1"/>
  <c r="G25" i="1"/>
  <c r="L25" i="1"/>
  <c r="M25" i="1"/>
  <c r="AR25" i="1"/>
  <c r="F17" i="1"/>
  <c r="G17" i="1"/>
  <c r="L17" i="1"/>
  <c r="M17" i="1"/>
  <c r="AR17" i="1"/>
  <c r="F18" i="1"/>
  <c r="G18" i="1"/>
  <c r="L18" i="1"/>
  <c r="M18" i="1"/>
  <c r="AR18" i="1"/>
  <c r="F19" i="1"/>
  <c r="G19" i="1"/>
  <c r="L19" i="1"/>
  <c r="M19" i="1"/>
  <c r="AR19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2" i="1"/>
  <c r="L10" i="1"/>
  <c r="L11" i="1"/>
  <c r="L12" i="1"/>
  <c r="L13" i="1"/>
  <c r="L14" i="1"/>
  <c r="L15" i="1"/>
  <c r="L16" i="1"/>
  <c r="L2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9" i="1"/>
  <c r="L8" i="1"/>
  <c r="L7" i="1"/>
  <c r="L6" i="1"/>
  <c r="L5" i="1"/>
  <c r="L4" i="1"/>
  <c r="L3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  <c r="T38" i="1"/>
  <c r="T15" i="1"/>
  <c r="T18" i="1"/>
  <c r="T20" i="1"/>
  <c r="T4" i="1"/>
  <c r="T26" i="1"/>
  <c r="T28" i="1"/>
  <c r="T21" i="1"/>
  <c r="T9" i="1"/>
  <c r="T33" i="1"/>
  <c r="T5" i="1"/>
  <c r="T16" i="1"/>
  <c r="T24" i="1"/>
  <c r="T34" i="1"/>
  <c r="T6" i="1"/>
  <c r="T40" i="1"/>
  <c r="T12" i="1"/>
  <c r="T36" i="1"/>
  <c r="T27" i="1"/>
  <c r="T37" i="1"/>
  <c r="T35" i="1"/>
  <c r="T31" i="1"/>
  <c r="T13" i="1"/>
  <c r="T14" i="1"/>
  <c r="T39" i="1"/>
  <c r="T17" i="1"/>
  <c r="T22" i="1"/>
  <c r="T3" i="1"/>
  <c r="T25" i="1"/>
  <c r="T32" i="1"/>
  <c r="T10" i="1"/>
  <c r="T23" i="1"/>
  <c r="T30" i="1"/>
  <c r="T2" i="1"/>
  <c r="T19" i="1"/>
  <c r="T8" i="1"/>
  <c r="T11" i="1"/>
  <c r="T7" i="1"/>
  <c r="T29" i="1"/>
</calcChain>
</file>

<file path=xl/sharedStrings.xml><?xml version="1.0" encoding="utf-8"?>
<sst xmlns="http://schemas.openxmlformats.org/spreadsheetml/2006/main" count="407" uniqueCount="191">
  <si>
    <t>交易品种</t>
  </si>
  <si>
    <t>投资组合</t>
  </si>
  <si>
    <t>交易类型</t>
  </si>
  <si>
    <t>审批单号</t>
  </si>
  <si>
    <t>是否预留审批单</t>
  </si>
  <si>
    <t>交易方向</t>
  </si>
  <si>
    <t>对手方</t>
  </si>
  <si>
    <t>交易日</t>
  </si>
  <si>
    <t>交易时间</t>
  </si>
  <si>
    <t>清算速度</t>
  </si>
  <si>
    <t>结算日</t>
  </si>
  <si>
    <t>债券代码</t>
  </si>
  <si>
    <t>券面总额(万)</t>
  </si>
  <si>
    <t>券面总额区间下限(万)</t>
  </si>
  <si>
    <t>券面总额区间上限(万)</t>
  </si>
  <si>
    <t>净价</t>
  </si>
  <si>
    <t>净价区间下限</t>
  </si>
  <si>
    <t>净价区间上限</t>
  </si>
  <si>
    <t>全价</t>
  </si>
  <si>
    <t>行权收益率(%)</t>
  </si>
  <si>
    <t>结算金额(元)</t>
  </si>
  <si>
    <t>手工维护应计利息</t>
  </si>
  <si>
    <t>应计利息总额(元)</t>
  </si>
  <si>
    <t>应计利息(元)</t>
  </si>
  <si>
    <t>汇率</t>
  </si>
  <si>
    <t>结算币种</t>
  </si>
  <si>
    <t>交易方式</t>
  </si>
  <si>
    <t>清算类型</t>
  </si>
  <si>
    <t>结算方式</t>
  </si>
  <si>
    <t>是否行权交易</t>
  </si>
  <si>
    <t>是否互联互通交易</t>
  </si>
  <si>
    <t>是否关联方交易</t>
  </si>
  <si>
    <t>是否有原始交易</t>
  </si>
  <si>
    <t>策略类型</t>
  </si>
  <si>
    <t>策略订单编号</t>
  </si>
  <si>
    <t>交易所</t>
  </si>
  <si>
    <t>清算所</t>
  </si>
  <si>
    <t>托管行</t>
  </si>
  <si>
    <t>经纪人</t>
  </si>
  <si>
    <t>税金(元)</t>
  </si>
  <si>
    <t>手续费(元)</t>
  </si>
  <si>
    <t>佣金(元)</t>
  </si>
  <si>
    <t>备注</t>
  </si>
  <si>
    <t>占额对象</t>
  </si>
  <si>
    <t>交易指令</t>
  </si>
  <si>
    <t>买入方资金账户类型</t>
  </si>
  <si>
    <t xml:space="preserve">买入方SWIFT code </t>
  </si>
  <si>
    <t>买入方资金账户账号</t>
  </si>
  <si>
    <t>买入方资金账户中文户名</t>
  </si>
  <si>
    <t>买入方资金账户英文户名</t>
  </si>
  <si>
    <t>买入方开户行行号</t>
  </si>
  <si>
    <t>买入方开户行账号</t>
  </si>
  <si>
    <t>买入方资金账户大额支付系统号</t>
  </si>
  <si>
    <t>买入方资金开户行中文名</t>
  </si>
  <si>
    <t>买入方资金开户行英文名</t>
  </si>
  <si>
    <t>买入方直接参与行行号</t>
  </si>
  <si>
    <t>买入方直接参与行中文名</t>
  </si>
  <si>
    <t>买入方直接参与行英文名</t>
  </si>
  <si>
    <t>买入方间接参与行行号</t>
  </si>
  <si>
    <t>买入方间接参与行账号</t>
  </si>
  <si>
    <t>买入方间接参与行中文名</t>
  </si>
  <si>
    <t>买入方间接参与行英文名</t>
  </si>
  <si>
    <t>买入方账户行行号</t>
  </si>
  <si>
    <t>买入方账户行账号</t>
  </si>
  <si>
    <t>买入方账户行中文名</t>
  </si>
  <si>
    <t>买入方账户行英文名</t>
  </si>
  <si>
    <t>买入方中间行行号</t>
  </si>
  <si>
    <t>买入方中间行账号</t>
  </si>
  <si>
    <t>买入方中间行中文名</t>
  </si>
  <si>
    <t>买入方中间行英文名</t>
  </si>
  <si>
    <t>买入方代理行行号</t>
  </si>
  <si>
    <t>买入方代理行账号</t>
  </si>
  <si>
    <t>买入方代理行中文名</t>
  </si>
  <si>
    <t>买入方代理行英文名</t>
  </si>
  <si>
    <t>卖出方资金账户类型</t>
  </si>
  <si>
    <t xml:space="preserve">卖出方SWIFT code </t>
  </si>
  <si>
    <t>卖出方资金账户账号</t>
  </si>
  <si>
    <t>卖出方资金账户中文户名</t>
  </si>
  <si>
    <t>卖出方资金账户英文户名</t>
  </si>
  <si>
    <t>卖出方开户行行号</t>
  </si>
  <si>
    <t>卖出方开户行账号</t>
  </si>
  <si>
    <t>卖出方资金账户大额支付系统号</t>
  </si>
  <si>
    <t>卖出方资金开户行中文名</t>
  </si>
  <si>
    <t>卖出方资金开户行英文名</t>
  </si>
  <si>
    <t>卖出方直接参与行行号</t>
  </si>
  <si>
    <t>卖出方直接参与行中文名</t>
  </si>
  <si>
    <t>卖出方直接参与行英文名</t>
  </si>
  <si>
    <t>卖出方间接参与行行号</t>
  </si>
  <si>
    <t>卖出方间接参与行账号</t>
  </si>
  <si>
    <t>卖出方间接参与行中文名</t>
  </si>
  <si>
    <t>卖出方间接参与行英文名</t>
  </si>
  <si>
    <t>卖出方账户行行号</t>
  </si>
  <si>
    <t>卖出方账户行账号</t>
  </si>
  <si>
    <t>卖出方账户行中文名</t>
  </si>
  <si>
    <t>卖出方账户行英文名</t>
  </si>
  <si>
    <t>卖出方中间行行号</t>
  </si>
  <si>
    <t>卖出方中间行账号</t>
  </si>
  <si>
    <t>卖出方中间行中文名</t>
  </si>
  <si>
    <t>卖出方中间行英文名</t>
  </si>
  <si>
    <t>卖出方代理行行号</t>
  </si>
  <si>
    <t>卖出方代理行账号</t>
  </si>
  <si>
    <t>卖出方代理行中文名</t>
  </si>
  <si>
    <t>卖出方代理行英文名</t>
  </si>
  <si>
    <t>买入方债券托管账户账号</t>
  </si>
  <si>
    <t>买入方债券托管账户中文户名</t>
  </si>
  <si>
    <t>买入方债券托管账户英文户名</t>
  </si>
  <si>
    <t>买入方债券托管机构</t>
  </si>
  <si>
    <t>买入方债券托管管理机构</t>
  </si>
  <si>
    <t>买入方债券托管开户行</t>
  </si>
  <si>
    <t>买入方债券托管SWIFT code</t>
  </si>
  <si>
    <t>卖出方债券托管账户账号</t>
  </si>
  <si>
    <t>卖出方债券托管账户中文户名</t>
  </si>
  <si>
    <t>卖出方债券托管账户英文户名</t>
  </si>
  <si>
    <t>卖出方债券托管机构</t>
  </si>
  <si>
    <t>卖出方债券托管管理机构</t>
  </si>
  <si>
    <t>卖出方债券托管开户行</t>
  </si>
  <si>
    <t>卖出方债券托管SWIFT code</t>
  </si>
  <si>
    <t>现券交易</t>
  </si>
  <si>
    <t>债券-201-FVTPL-交易-FIZS</t>
  </si>
  <si>
    <t>卖出</t>
  </si>
  <si>
    <t>买入</t>
  </si>
  <si>
    <t>净价</t>
    <phoneticPr fontId="5" type="noConversion"/>
  </si>
  <si>
    <t>输入</t>
  </si>
  <si>
    <t>金额 (万)</t>
  </si>
  <si>
    <t>收益率 (%)</t>
  </si>
  <si>
    <t>T+0</t>
  </si>
  <si>
    <t>华福证券</t>
  </si>
  <si>
    <t>结算速度</t>
  </si>
  <si>
    <t>潍坊银行</t>
  </si>
  <si>
    <t>宁波通商银行</t>
  </si>
  <si>
    <t>陕西榆林农商银行</t>
  </si>
  <si>
    <t>内蒙古农商银行</t>
  </si>
  <si>
    <t>1. 260007 1.578 5000 05.21+0 潮州农商银行 请求 出给 平安证券2k + 平安银行3k</t>
  </si>
  <si>
    <t>潮州农商银行</t>
  </si>
  <si>
    <t>上家潮州农商银行，下家平安证券、平安银行，履行做市商职责，上下家不偏离。</t>
  </si>
  <si>
    <t>平安证券</t>
  </si>
  <si>
    <t>平安银行</t>
  </si>
  <si>
    <t>2. 250210 1.81 5000 05.21+0 启东农商银行 出给 陕西陇县农商行 请求</t>
  </si>
  <si>
    <t>启东农商银行</t>
  </si>
  <si>
    <t>上家启东农商银行，下家陕西陇县农商行，履行做市商职责，上下家不偏离。</t>
  </si>
  <si>
    <t>陕西陇县农商行</t>
  </si>
  <si>
    <t>3. 250215 1.815 1000 05.21+0 启东农商银行 出给 山东滕州农商行 请求</t>
  </si>
  <si>
    <t>上家启东农商银行，下家山东滕州农商行，履行做市商职责，上下家不偏离。</t>
  </si>
  <si>
    <t>山东滕州农商行</t>
  </si>
  <si>
    <t>1) 29.66Y 260002 2.265 4000 05.21+0 内蒙古农商银行4K 出给 平安银行3K+ 平安证券1K</t>
  </si>
  <si>
    <t>上家内蒙古农商银行，下家平安银行、平安证券，履行做市商职责，上下家不偏离。</t>
  </si>
  <si>
    <t>2) 29.93Y 2600002 2.2325 3000 05.21+0 平安银行2K+ 浙江绍兴瑞丰农商银行1K 出给 杭州银行资管3K</t>
  </si>
  <si>
    <t>上家平安银行、浙江绍兴瑞丰农商银行，下家杭州银行资管，履行做市商职责，上下家不偏离。</t>
  </si>
  <si>
    <t>浙江绍兴瑞丰农商银行</t>
  </si>
  <si>
    <t>杭州银行资管</t>
  </si>
  <si>
    <t>3) 29.65Y 260002 2.268 1E +0 内蒙古农商银行 出给 华福证券</t>
  </si>
  <si>
    <t>上家内蒙古农商银行，下家华福证券，履行做市商职责，上下家不偏离。</t>
  </si>
  <si>
    <t>4) 9.08Y 250215 1.813 5000 05.21+0 宁波通商银行 出给 陕西太白农商银行</t>
  </si>
  <si>
    <t>上家宁波通商银行，下家陕西太白农商银行，履行做市商职责，上下家不偏离。</t>
  </si>
  <si>
    <t>陕西太白农商银行</t>
  </si>
  <si>
    <t>1） 250014 1.365 5000 +0 苍南农商行 出给 辽沈银行</t>
  </si>
  <si>
    <t>苍南农商行</t>
  </si>
  <si>
    <t>上家苍南农商行，下家辽沈银行，履行做市商职责，上下家不偏离。</t>
  </si>
  <si>
    <t>辽沈银行</t>
  </si>
  <si>
    <t>1、 210220 2.069 2000 +0 湖北兴山农商银行 出给 沧州银行</t>
  </si>
  <si>
    <t>湖北兴山农商银行</t>
  </si>
  <si>
    <t>上家湖北兴山农商银行，下家沧州银行，履行做市商职责，上下家不偏离。</t>
  </si>
  <si>
    <t>沧州银行</t>
  </si>
  <si>
    <t>2、 240205 1.7375 2000 +0 宁波通商银行 出给 陕西凤翔农商银行</t>
  </si>
  <si>
    <t>上家宁波通商银行，下家陕西凤翔农商银行，履行做市商职责，上下家不偏离。</t>
  </si>
  <si>
    <t>陕西凤翔农商银行</t>
  </si>
  <si>
    <t>3、 230210 1.70 2000 +0 新疆银行 出给 陕西石泉农商银行</t>
  </si>
  <si>
    <t>新疆银行</t>
  </si>
  <si>
    <t>上家新疆银行，下家陕西石泉农商银行，履行做市商职责，上下家不偏离。</t>
  </si>
  <si>
    <t>陕西石泉农商银行</t>
  </si>
  <si>
    <t>1. 240013 1.44 2000 +0 正安县农联社 请求 出给 网商银行</t>
  </si>
  <si>
    <t>正安县农联社</t>
  </si>
  <si>
    <t>上家正安县农联社，下家网商银行，履行做市商职责，上下家不偏离。</t>
  </si>
  <si>
    <t>网商银行</t>
  </si>
  <si>
    <t>2. 260005 1.7415 2E +0 帮发 兴业银行 赵婧文 2E 出给 陕西杨凌农商行 请求5K +陕西榆林农商银行 请求5K +江苏邳州农商行 请求5K +东方财富证券 5K</t>
  </si>
  <si>
    <t>兴业银行（赵婧文）</t>
  </si>
  <si>
    <t>上家兴业银行，下家陕西杨凌农商行、陕西榆林农商银行、江苏邳州农商行、东方财富证券，履行做市商职责，上下家不偏离。</t>
  </si>
  <si>
    <t>陕西杨凌农商行</t>
  </si>
  <si>
    <t>江苏邳州农商行</t>
  </si>
  <si>
    <t>东方财富证券</t>
  </si>
  <si>
    <t>3. 260205 1.8075 4000 +0 广东化州农商银行 请求 出给 潍坊银行</t>
  </si>
  <si>
    <t>广东化州农商银行</t>
  </si>
  <si>
    <t>上家广东化州农商银行，下家潍坊银行，履行做市商职责，上下家不偏离。</t>
  </si>
  <si>
    <t>4. 250215 1.8155 2000 +0 浙江海盐农商银行 请求 出给 宁波通商银行</t>
  </si>
  <si>
    <t>浙江海盐农商银行</t>
  </si>
  <si>
    <t>上家浙江海盐农商银行，下家宁波通商银行，履行做市商职责，上下家不偏离。</t>
  </si>
  <si>
    <t>5. 260205 1.811 3000 +0 江苏滨海农商银行 请求 出给 申港证券2K+江西裕民银行1K</t>
  </si>
  <si>
    <t>江苏滨海农商银行</t>
  </si>
  <si>
    <t>上家江苏滨海农商银行，下家申港证券、江西裕民银行，履行做市商职责，上下家不偏离。</t>
  </si>
  <si>
    <t>申港证券</t>
  </si>
  <si>
    <t>江西裕民银行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</si>
</sst>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76" formatCode="0.0000"/>
    <numFmt numFmtId="177" formatCode="0.0000%"/>
    <numFmt numFmtId="178" formatCode="_ * #,##0.0000_ ;_ * \-#,##0.0000_ ;_ * &quot;-&quot;??_ ;_ @_ "/>
  </numFmts>
  <fonts count="9" x14ac:knownFonts="1">
    <font>
      <sz val="12"/>
      <name val="宋体"/>
      <charset val="134"/>
    </font>
    <font>
      <sz val="12"/>
      <color indexed="8"/>
      <name val="宋体"/>
      <family val="3"/>
      <charset val="134"/>
    </font>
    <font>
      <sz val="10"/>
      <name val="Arial"/>
      <family val="2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57"/>
        <bgColor indexed="21"/>
      </patternFill>
    </fill>
    <fill>
      <patternFill patternType="solid">
        <fgColor indexed="51"/>
        <bgColor indexed="13"/>
      </patternFill>
    </fill>
    <fill>
      <patternFill patternType="solid">
        <fgColor rgb="FF4472C4"/>
        <bgColor indexed="56"/>
      </patternFill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3" fillId="0" borderId="0">
      <alignment vertical="center"/>
    </xf>
    <xf numFmtId="0" fontId="6" fillId="0" borderId="0"/>
    <xf numFmtId="43" fontId="7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49" fontId="1" fillId="4" borderId="0" xfId="3" applyNumberFormat="1" applyFont="1" applyFill="1" applyAlignment="1"/>
    <xf numFmtId="0" fontId="0" fillId="4" borderId="0" xfId="0" applyFill="1"/>
    <xf numFmtId="0" fontId="2" fillId="0" borderId="0" xfId="0" applyFont="1"/>
    <xf numFmtId="2" fontId="2" fillId="0" borderId="0" xfId="0" applyNumberFormat="1" applyFont="1" applyAlignment="1">
      <alignment horizontal="right"/>
    </xf>
    <xf numFmtId="176" fontId="2" fillId="0" borderId="0" xfId="0" applyNumberFormat="1" applyFont="1" applyAlignment="1">
      <alignment horizontal="right"/>
    </xf>
    <xf numFmtId="0" fontId="0" fillId="5" borderId="0" xfId="0" applyFill="1"/>
    <xf numFmtId="0" fontId="0" fillId="3" borderId="0" xfId="2" applyFont="1" applyFill="1"/>
    <xf numFmtId="0" fontId="1" fillId="3" borderId="0" xfId="0" applyFont="1" applyFill="1" applyAlignment="1">
      <alignment horizontal="left"/>
    </xf>
    <xf numFmtId="0" fontId="6" fillId="0" borderId="0" xfId="4"/>
    <xf numFmtId="0" fontId="4" fillId="2" borderId="0" xfId="0" applyFont="1" applyFill="1"/>
    <xf numFmtId="177" fontId="0" fillId="0" borderId="0" xfId="0" applyNumberFormat="1"/>
    <xf numFmtId="0" fontId="8" fillId="0" borderId="1" xfId="0" applyFont="1" applyBorder="1" applyAlignment="1">
      <alignment horizontal="center" vertical="top"/>
    </xf>
    <xf numFmtId="178" fontId="6" fillId="0" borderId="0" xfId="5" applyNumberFormat="1" applyFont="1" applyAlignment="1"/>
    <xf numFmtId="14" fontId="6" fillId="0" borderId="0" xfId="4" applyNumberFormat="1"/>
  </cellXfs>
  <cellStyles count="6">
    <cellStyle name="常规" xfId="0" builtinId="0"/>
    <cellStyle name="常规 2" xfId="1" xr:uid="{C1549589-E7FA-4B42-A044-0F09E63378A7}"/>
    <cellStyle name="常规 2 2" xfId="2" xr:uid="{C2070A72-2345-417A-B8E6-316306AA4E73}"/>
    <cellStyle name="常规 3" xfId="4" xr:uid="{A5BDD6F3-4115-43D1-9C81-9D37B251C045}"/>
    <cellStyle name="常规_Sheet1" xfId="3" xr:uid="{16539F31-2C8B-46E5-A14B-AF59C59A02D6}"/>
    <cellStyle name="千位分隔" xfId="5" builtinId="3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F56C0751-602D-408E-A9C2-E43D40A1BB2F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349BEB6D-11CC-4B2C-B044-E341797F5F7C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b_calc_pv"/>
    </defined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6E7B-5520-4434-8860-F33682835B43}">
  <dimension ref="A1:DU305"/>
  <sheetViews>
    <sheetView tabSelected="1" zoomScale="85" workbookViewId="0">
      <selection activeCell="B41" sqref="B41"/>
    </sheetView>
  </sheetViews>
  <sheetFormatPr defaultColWidth="8.5625" defaultRowHeight="15.75" x14ac:dyDescent="0.4"/>
  <cols>
    <col min="1" max="1" width="9.0625" bestFit="1" customWidth="1"/>
    <col min="2" max="2" width="34.5" customWidth="1"/>
    <col min="3" max="3" width="15.0625" bestFit="1" customWidth="1"/>
    <col min="4" max="4" width="12.75" customWidth="1"/>
    <col min="5" max="5" width="16.25" customWidth="1"/>
    <col min="6" max="6" width="15.0625" bestFit="1" customWidth="1"/>
    <col min="7" max="7" width="20.8125" bestFit="1" customWidth="1"/>
    <col min="8" max="8" width="10.1875" bestFit="1" customWidth="1"/>
    <col min="9" max="9" width="12.5625" bestFit="1" customWidth="1"/>
    <col min="10" max="10" width="24.0625" bestFit="1" customWidth="1"/>
    <col min="11" max="11" width="29.0625" bestFit="1" customWidth="1"/>
    <col min="12" max="12" width="15.0625" style="2" bestFit="1" customWidth="1"/>
    <col min="13" max="13" width="15.5625" bestFit="1" customWidth="1"/>
    <col min="14" max="15" width="22" customWidth="1"/>
    <col min="16" max="16" width="5.25" bestFit="1" customWidth="1"/>
    <col min="17" max="17" width="18.5" customWidth="1"/>
    <col min="18" max="18" width="17.0625" customWidth="1"/>
    <col min="19" max="19" width="13.3125" customWidth="1"/>
    <col min="20" max="21" width="14.5" customWidth="1"/>
    <col min="22" max="24" width="13.3125" customWidth="1"/>
    <col min="25" max="25" width="15.8125" customWidth="1"/>
    <col min="26" max="28" width="16.5" customWidth="1"/>
    <col min="29" max="29" width="22" customWidth="1"/>
    <col min="30" max="37" width="17.0625" style="2" customWidth="1"/>
    <col min="38" max="38" width="18.5" customWidth="1"/>
    <col min="39" max="39" width="20.3125" customWidth="1"/>
    <col min="40" max="40" width="16.8125" customWidth="1"/>
    <col min="41" max="43" width="22.8125" customWidth="1"/>
    <col min="44" max="45" width="24.0625" bestFit="1" customWidth="1"/>
    <col min="46" max="46" width="19.8125" bestFit="1" customWidth="1"/>
    <col min="47" max="47" width="22" bestFit="1" customWidth="1"/>
    <col min="48" max="48" width="30.5625" bestFit="1" customWidth="1"/>
    <col min="49" max="50" width="24.0625" bestFit="1" customWidth="1"/>
    <col min="51" max="51" width="19.8125" bestFit="1" customWidth="1"/>
    <col min="52" max="52" width="23.0625" bestFit="1" customWidth="1"/>
    <col min="53" max="53" width="25.75" bestFit="1" customWidth="1"/>
    <col min="54" max="54" width="26.3125" bestFit="1" customWidth="1"/>
    <col min="55" max="55" width="30.5625" bestFit="1" customWidth="1"/>
    <col min="56" max="57" width="22" bestFit="1" customWidth="1"/>
    <col min="58" max="58" width="24.0625" bestFit="1" customWidth="1"/>
    <col min="59" max="59" width="32.5625" bestFit="1" customWidth="1"/>
    <col min="60" max="61" width="17.5625" bestFit="1" customWidth="1"/>
    <col min="62" max="62" width="26.3125" bestFit="1" customWidth="1"/>
    <col min="63" max="65" width="22" bestFit="1" customWidth="1"/>
    <col min="66" max="67" width="24.0625" bestFit="1" customWidth="1"/>
    <col min="68" max="68" width="19.8125" bestFit="1" customWidth="1"/>
    <col min="69" max="69" width="22" bestFit="1" customWidth="1"/>
    <col min="70" max="70" width="30.5625" bestFit="1" customWidth="1"/>
    <col min="71" max="72" width="24.0625" bestFit="1" customWidth="1"/>
    <col min="73" max="73" width="19.8125" bestFit="1" customWidth="1"/>
    <col min="74" max="74" width="23.0625" bestFit="1" customWidth="1"/>
    <col min="75" max="75" width="17.5625" bestFit="1" customWidth="1"/>
    <col min="76" max="76" width="26.3125" bestFit="1" customWidth="1"/>
    <col min="77" max="77" width="30.5625" bestFit="1" customWidth="1"/>
    <col min="78" max="79" width="22" bestFit="1" customWidth="1"/>
    <col min="80" max="80" width="24.0625" bestFit="1" customWidth="1"/>
    <col min="81" max="81" width="32.5625" bestFit="1" customWidth="1"/>
    <col min="82" max="82" width="25.75" bestFit="1" customWidth="1"/>
    <col min="83" max="83" width="17.5625" bestFit="1" customWidth="1"/>
    <col min="84" max="84" width="26.3125" bestFit="1" customWidth="1"/>
    <col min="85" max="87" width="22" bestFit="1" customWidth="1"/>
    <col min="88" max="88" width="23.5625" bestFit="1" customWidth="1"/>
    <col min="109" max="109" width="29" bestFit="1" customWidth="1"/>
  </cols>
  <sheetData>
    <row r="1" spans="1:125" x14ac:dyDescent="0.4">
      <c r="A1" s="6" t="s">
        <v>0</v>
      </c>
      <c r="B1" s="7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5" t="s">
        <v>6</v>
      </c>
      <c r="H1" s="7" t="s">
        <v>7</v>
      </c>
      <c r="I1" s="5" t="s">
        <v>8</v>
      </c>
      <c r="J1" s="4" t="s">
        <v>9</v>
      </c>
      <c r="K1" s="4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P1" s="4" t="s">
        <v>15</v>
      </c>
      <c r="Q1" s="5" t="s">
        <v>16</v>
      </c>
      <c r="R1" s="5" t="s">
        <v>17</v>
      </c>
      <c r="S1" s="4" t="s">
        <v>18</v>
      </c>
      <c r="T1" s="15" t="s">
        <v>121</v>
      </c>
      <c r="U1" s="4" t="s">
        <v>19</v>
      </c>
      <c r="V1" s="4" t="s">
        <v>20</v>
      </c>
      <c r="W1" s="5" t="s">
        <v>21</v>
      </c>
      <c r="X1" s="11" t="s">
        <v>22</v>
      </c>
      <c r="Y1" s="11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12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13" t="s">
        <v>103</v>
      </c>
      <c r="DB1" s="13" t="s">
        <v>104</v>
      </c>
      <c r="DC1" s="13" t="s">
        <v>105</v>
      </c>
      <c r="DD1" s="13" t="s">
        <v>106</v>
      </c>
      <c r="DE1" s="13" t="s">
        <v>107</v>
      </c>
      <c r="DF1" s="13" t="s">
        <v>108</v>
      </c>
      <c r="DG1" s="13" t="s">
        <v>109</v>
      </c>
      <c r="DH1" s="13" t="s">
        <v>110</v>
      </c>
      <c r="DI1" s="13" t="s">
        <v>111</v>
      </c>
      <c r="DJ1" s="13" t="s">
        <v>112</v>
      </c>
      <c r="DK1" s="13" t="s">
        <v>113</v>
      </c>
      <c r="DL1" s="13" t="s">
        <v>114</v>
      </c>
      <c r="DM1" s="13" t="s">
        <v>115</v>
      </c>
      <c r="DN1" s="13" t="s">
        <v>116</v>
      </c>
      <c r="DO1" s="13" t="s">
        <v>110</v>
      </c>
      <c r="DP1" s="13" t="s">
        <v>111</v>
      </c>
      <c r="DQ1" s="13" t="s">
        <v>112</v>
      </c>
      <c r="DR1" s="13" t="s">
        <v>113</v>
      </c>
      <c r="DS1" s="13" t="s">
        <v>114</v>
      </c>
      <c r="DT1" s="13" t="s">
        <v>115</v>
      </c>
      <c r="DU1" s="13" t="s">
        <v>116</v>
      </c>
    </row>
    <row r="2" spans="1:125" s="3" customFormat="1" x14ac:dyDescent="0.3">
      <c r="A2" s="14" t="s">
        <v>117</v>
      </c>
      <c r="B2" s="14" t="s">
        <v>118</v>
      </c>
      <c r="C2" s="14"/>
      <c r="D2" s="14"/>
      <c r="E2" s="14"/>
      <c r="F2" s="14" t="str">
        <f>Sheet2!B2</f>
        <v>买入</v>
      </c>
      <c r="G2" s="14" t="str">
        <f>Sheet2!D2</f>
        <v>潮州农商银行</v>
      </c>
      <c r="H2" s="19">
        <f>Sheet2!E2</f>
        <v>46163</v>
      </c>
      <c r="I2" s="14"/>
      <c r="J2" s="14" t="str">
        <f>Sheet2!C2</f>
        <v>T+0</v>
      </c>
      <c r="K2" s="14"/>
      <c r="L2" s="14">
        <f>Sheet2!F2</f>
        <v>260007</v>
      </c>
      <c r="M2" s="14">
        <f>Sheet2!G2</f>
        <v>5000</v>
      </c>
      <c r="N2" s="14"/>
      <c r="O2" s="14"/>
      <c r="P2" s="14"/>
      <c r="Q2" s="14"/>
      <c r="R2" s="14"/>
      <c r="S2" s="14"/>
      <c r="T2" s="18">
        <f>ROUND([1]!b_calc_pv(L2,H2,Sheet2!H2,"1",1),4)</f>
        <v>100.52630000000001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 t="str">
        <f>Sheet2!I2</f>
        <v>上家潮州农商银行，下家平安证券、平安银行，履行做市商职责，上下家不偏离。</v>
      </c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</row>
    <row r="3" spans="1:125" x14ac:dyDescent="0.4">
      <c r="A3" s="14" t="s">
        <v>117</v>
      </c>
      <c r="B3" s="14" t="s">
        <v>118</v>
      </c>
      <c r="C3" s="14"/>
      <c r="D3" s="14"/>
      <c r="E3" s="14"/>
      <c r="F3" s="14" t="str">
        <f>Sheet2!B3</f>
        <v>卖出</v>
      </c>
      <c r="G3" s="14" t="str">
        <f>Sheet2!D3</f>
        <v>平安证券</v>
      </c>
      <c r="H3" s="19">
        <f>Sheet2!E3</f>
        <v>46163</v>
      </c>
      <c r="I3" s="14"/>
      <c r="J3" s="14" t="str">
        <f>Sheet2!C3</f>
        <v>T+0</v>
      </c>
      <c r="K3" s="14"/>
      <c r="L3" s="14">
        <f>Sheet2!F3</f>
        <v>260007</v>
      </c>
      <c r="M3" s="14">
        <f>Sheet2!G3</f>
        <v>2000</v>
      </c>
      <c r="N3" s="14"/>
      <c r="O3" s="14"/>
      <c r="P3" s="14"/>
      <c r="Q3" s="14"/>
      <c r="R3" s="14"/>
      <c r="S3" s="14"/>
      <c r="T3" s="18">
        <f>ROUND([1]!b_calc_pv(L3,H3,Sheet2!H3,"1",1),4)</f>
        <v>100.52630000000001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 t="str">
        <f>Sheet2!I3</f>
        <v>上家潮州农商银行，下家平安证券、平安银行，履行做市商职责，上下家不偏离。</v>
      </c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</row>
    <row r="4" spans="1:125" x14ac:dyDescent="0.4">
      <c r="A4" s="14" t="s">
        <v>117</v>
      </c>
      <c r="B4" s="14" t="s">
        <v>118</v>
      </c>
      <c r="C4" s="14"/>
      <c r="D4" s="14"/>
      <c r="E4" s="14"/>
      <c r="F4" s="14" t="str">
        <f>Sheet2!B4</f>
        <v>卖出</v>
      </c>
      <c r="G4" s="14" t="str">
        <f>Sheet2!D4</f>
        <v>平安银行</v>
      </c>
      <c r="H4" s="19">
        <f>Sheet2!E4</f>
        <v>46163</v>
      </c>
      <c r="I4" s="14"/>
      <c r="J4" s="14" t="str">
        <f>Sheet2!C4</f>
        <v>T+0</v>
      </c>
      <c r="K4" s="14"/>
      <c r="L4" s="14">
        <f>Sheet2!F4</f>
        <v>260007</v>
      </c>
      <c r="M4" s="14">
        <f>Sheet2!G4</f>
        <v>3000</v>
      </c>
      <c r="N4" s="14"/>
      <c r="O4" s="14"/>
      <c r="P4" s="14"/>
      <c r="Q4" s="14"/>
      <c r="R4" s="14"/>
      <c r="S4" s="14"/>
      <c r="T4" s="18">
        <f>ROUND([1]!b_calc_pv(L4,H4,Sheet2!H4,"1",1),4)</f>
        <v>100.52630000000001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tr">
        <f>Sheet2!I4</f>
        <v>上家潮州农商银行，下家平安证券、平安银行，履行做市商职责，上下家不偏离。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</row>
    <row r="5" spans="1:125" x14ac:dyDescent="0.4">
      <c r="A5" s="14" t="s">
        <v>117</v>
      </c>
      <c r="B5" s="14" t="s">
        <v>118</v>
      </c>
      <c r="C5" s="14"/>
      <c r="D5" s="14"/>
      <c r="E5" s="14"/>
      <c r="F5" s="14" t="str">
        <f>Sheet2!B5</f>
        <v>买入</v>
      </c>
      <c r="G5" s="14" t="str">
        <f>Sheet2!D5</f>
        <v>启东农商银行</v>
      </c>
      <c r="H5" s="19">
        <f>Sheet2!E5</f>
        <v>46163</v>
      </c>
      <c r="I5" s="14"/>
      <c r="J5" s="14" t="str">
        <f>Sheet2!C5</f>
        <v>T+0</v>
      </c>
      <c r="K5" s="14"/>
      <c r="L5" s="14">
        <f>Sheet2!F5</f>
        <v>250210</v>
      </c>
      <c r="M5" s="14">
        <f>Sheet2!G5</f>
        <v>5000</v>
      </c>
      <c r="N5" s="14"/>
      <c r="O5" s="14"/>
      <c r="P5" s="14"/>
      <c r="Q5" s="14"/>
      <c r="R5" s="14"/>
      <c r="S5" s="14"/>
      <c r="T5" s="18">
        <f>ROUND([1]!b_calc_pv(L5,H5,Sheet2!H5,"1",1),4)</f>
        <v>99.916899999999998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 t="str">
        <f>Sheet2!I5</f>
        <v>上家启东农商银行，下家陕西陇县农商行，履行做市商职责，上下家不偏离。</v>
      </c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</row>
    <row r="6" spans="1:125" x14ac:dyDescent="0.4">
      <c r="A6" s="14" t="s">
        <v>117</v>
      </c>
      <c r="B6" s="14" t="s">
        <v>118</v>
      </c>
      <c r="C6" s="14"/>
      <c r="D6" s="14"/>
      <c r="E6" s="14"/>
      <c r="F6" s="14" t="str">
        <f>Sheet2!B6</f>
        <v>卖出</v>
      </c>
      <c r="G6" s="14" t="str">
        <f>Sheet2!D6</f>
        <v>陕西陇县农商行</v>
      </c>
      <c r="H6" s="19">
        <f>Sheet2!E6</f>
        <v>46163</v>
      </c>
      <c r="I6" s="14"/>
      <c r="J6" s="14" t="str">
        <f>Sheet2!C6</f>
        <v>T+0</v>
      </c>
      <c r="K6" s="14"/>
      <c r="L6" s="14">
        <f>Sheet2!F6</f>
        <v>250210</v>
      </c>
      <c r="M6" s="14">
        <f>Sheet2!G6</f>
        <v>5000</v>
      </c>
      <c r="N6" s="14"/>
      <c r="O6" s="14"/>
      <c r="P6" s="14"/>
      <c r="Q6" s="14"/>
      <c r="R6" s="14"/>
      <c r="S6" s="14"/>
      <c r="T6" s="18">
        <f>ROUND([1]!b_calc_pv(L6,H6,Sheet2!H6,"1",1),4)</f>
        <v>99.916899999999998</v>
      </c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 t="str">
        <f>Sheet2!I6</f>
        <v>上家启东农商银行，下家陕西陇县农商行，履行做市商职责，上下家不偏离。</v>
      </c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</row>
    <row r="7" spans="1:125" x14ac:dyDescent="0.4">
      <c r="A7" s="14" t="s">
        <v>117</v>
      </c>
      <c r="B7" s="14" t="s">
        <v>118</v>
      </c>
      <c r="C7" s="14"/>
      <c r="D7" s="14"/>
      <c r="E7" s="14"/>
      <c r="F7" s="14" t="str">
        <f>Sheet2!B7</f>
        <v>买入</v>
      </c>
      <c r="G7" s="14" t="str">
        <f>Sheet2!D7</f>
        <v>启东农商银行</v>
      </c>
      <c r="H7" s="19">
        <f>Sheet2!E7</f>
        <v>46163</v>
      </c>
      <c r="I7" s="14"/>
      <c r="J7" s="14" t="str">
        <f>Sheet2!C7</f>
        <v>T+0</v>
      </c>
      <c r="K7" s="14"/>
      <c r="L7" s="14">
        <f>Sheet2!F7</f>
        <v>250215</v>
      </c>
      <c r="M7" s="14">
        <f>Sheet2!G7</f>
        <v>1000</v>
      </c>
      <c r="N7" s="14"/>
      <c r="O7" s="14"/>
      <c r="P7" s="14"/>
      <c r="Q7" s="14"/>
      <c r="R7" s="14"/>
      <c r="S7" s="14"/>
      <c r="T7" s="18">
        <f>ROUND([1]!b_calc_pv(L7,H7,Sheet2!H7,"1",1),4)</f>
        <v>98.629499999999993</v>
      </c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 t="str">
        <f>Sheet2!I7</f>
        <v>上家启东农商银行，下家山东滕州农商行，履行做市商职责，上下家不偏离。</v>
      </c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</row>
    <row r="8" spans="1:125" x14ac:dyDescent="0.4">
      <c r="A8" s="14" t="s">
        <v>117</v>
      </c>
      <c r="B8" s="14" t="s">
        <v>118</v>
      </c>
      <c r="C8" s="14"/>
      <c r="D8" s="14"/>
      <c r="E8" s="14"/>
      <c r="F8" s="14" t="str">
        <f>Sheet2!B8</f>
        <v>卖出</v>
      </c>
      <c r="G8" s="14" t="str">
        <f>Sheet2!D8</f>
        <v>山东滕州农商行</v>
      </c>
      <c r="H8" s="19">
        <f>Sheet2!E8</f>
        <v>46163</v>
      </c>
      <c r="I8" s="14"/>
      <c r="J8" s="14" t="str">
        <f>Sheet2!C8</f>
        <v>T+0</v>
      </c>
      <c r="K8" s="14"/>
      <c r="L8" s="14">
        <f>Sheet2!F8</f>
        <v>250215</v>
      </c>
      <c r="M8" s="14">
        <f>Sheet2!G8</f>
        <v>1000</v>
      </c>
      <c r="N8" s="14"/>
      <c r="O8" s="14"/>
      <c r="P8" s="14"/>
      <c r="Q8" s="14"/>
      <c r="R8" s="14"/>
      <c r="S8" s="14"/>
      <c r="T8" s="18">
        <f>ROUND([1]!b_calc_pv(L8,H8,Sheet2!H8,"1",1),4)</f>
        <v>98.629499999999993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 t="str">
        <f>Sheet2!I8</f>
        <v>上家启东农商银行，下家山东滕州农商行，履行做市商职责，上下家不偏离。</v>
      </c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</row>
    <row r="9" spans="1:125" x14ac:dyDescent="0.4">
      <c r="A9" s="14" t="s">
        <v>117</v>
      </c>
      <c r="B9" s="14" t="s">
        <v>118</v>
      </c>
      <c r="C9" s="14"/>
      <c r="D9" s="14"/>
      <c r="E9" s="14"/>
      <c r="F9" s="14" t="str">
        <f>Sheet2!B9</f>
        <v>买入</v>
      </c>
      <c r="G9" s="14" t="str">
        <f>Sheet2!D9</f>
        <v>内蒙古农商银行</v>
      </c>
      <c r="H9" s="19">
        <f>Sheet2!E9</f>
        <v>46163</v>
      </c>
      <c r="I9" s="14"/>
      <c r="J9" s="14" t="str">
        <f>Sheet2!C9</f>
        <v>T+0</v>
      </c>
      <c r="K9" s="14"/>
      <c r="L9" s="14">
        <f>Sheet2!F9</f>
        <v>260002</v>
      </c>
      <c r="M9" s="14">
        <f>Sheet2!G9</f>
        <v>4000</v>
      </c>
      <c r="N9" s="14"/>
      <c r="O9" s="14"/>
      <c r="P9" s="14"/>
      <c r="Q9" s="14"/>
      <c r="R9" s="14"/>
      <c r="S9" s="14"/>
      <c r="T9" s="18">
        <f>ROUND([1]!b_calc_pv(L9,H9,Sheet2!H9,"1",1),4)</f>
        <v>102.4722</v>
      </c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 t="str">
        <f>Sheet2!I9</f>
        <v>上家内蒙古农商银行，下家平安银行、平安证券，履行做市商职责，上下家不偏离。</v>
      </c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</row>
    <row r="10" spans="1:125" x14ac:dyDescent="0.4">
      <c r="A10" s="14" t="s">
        <v>117</v>
      </c>
      <c r="B10" s="14" t="s">
        <v>118</v>
      </c>
      <c r="C10" s="14"/>
      <c r="D10" s="14"/>
      <c r="E10" s="14"/>
      <c r="F10" s="14" t="str">
        <f>Sheet2!B10</f>
        <v>卖出</v>
      </c>
      <c r="G10" s="14" t="str">
        <f>Sheet2!D10</f>
        <v>平安银行</v>
      </c>
      <c r="H10" s="19">
        <f>Sheet2!E10</f>
        <v>46163</v>
      </c>
      <c r="I10" s="14"/>
      <c r="J10" s="14" t="str">
        <f>Sheet2!C10</f>
        <v>T+0</v>
      </c>
      <c r="K10" s="14"/>
      <c r="L10" s="14">
        <f>Sheet2!F10</f>
        <v>260002</v>
      </c>
      <c r="M10" s="14">
        <f>Sheet2!G10</f>
        <v>3000</v>
      </c>
      <c r="N10" s="14"/>
      <c r="O10" s="14"/>
      <c r="P10" s="14"/>
      <c r="Q10" s="14"/>
      <c r="R10" s="14"/>
      <c r="S10" s="14"/>
      <c r="T10" s="18">
        <f>ROUND([1]!b_calc_pv(L10,H10,Sheet2!H10,"1",1),4)</f>
        <v>102.4722</v>
      </c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 t="str">
        <f>Sheet2!I10</f>
        <v>上家内蒙古农商银行，下家平安银行、平安证券，履行做市商职责，上下家不偏离。</v>
      </c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</row>
    <row r="11" spans="1:125" x14ac:dyDescent="0.4">
      <c r="A11" s="14" t="s">
        <v>117</v>
      </c>
      <c r="B11" s="14" t="s">
        <v>118</v>
      </c>
      <c r="C11" s="14"/>
      <c r="D11" s="14"/>
      <c r="E11" s="14"/>
      <c r="F11" s="14" t="str">
        <f>Sheet2!B11</f>
        <v>卖出</v>
      </c>
      <c r="G11" s="14" t="str">
        <f>Sheet2!D11</f>
        <v>平安证券</v>
      </c>
      <c r="H11" s="19">
        <f>Sheet2!E11</f>
        <v>46163</v>
      </c>
      <c r="I11" s="14"/>
      <c r="J11" s="14" t="str">
        <f>Sheet2!C11</f>
        <v>T+0</v>
      </c>
      <c r="K11" s="14"/>
      <c r="L11" s="14">
        <f>Sheet2!F11</f>
        <v>260002</v>
      </c>
      <c r="M11" s="14">
        <f>Sheet2!G11</f>
        <v>1000</v>
      </c>
      <c r="N11" s="14"/>
      <c r="O11" s="14"/>
      <c r="P11" s="14"/>
      <c r="Q11" s="14"/>
      <c r="R11" s="14"/>
      <c r="S11" s="14"/>
      <c r="T11" s="18">
        <f>ROUND([1]!b_calc_pv(L11,H11,Sheet2!H11,"1",1),4)</f>
        <v>102.4722</v>
      </c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 t="str">
        <f>Sheet2!I11</f>
        <v>上家内蒙古农商银行，下家平安银行、平安证券，履行做市商职责，上下家不偏离。</v>
      </c>
    </row>
    <row r="12" spans="1:125" x14ac:dyDescent="0.4">
      <c r="A12" s="14" t="s">
        <v>117</v>
      </c>
      <c r="B12" s="14" t="s">
        <v>118</v>
      </c>
      <c r="C12" s="14"/>
      <c r="D12" s="14"/>
      <c r="E12" s="14"/>
      <c r="F12" s="14" t="str">
        <f>Sheet2!B12</f>
        <v>买入</v>
      </c>
      <c r="G12" s="14" t="str">
        <f>Sheet2!D12</f>
        <v>平安银行</v>
      </c>
      <c r="H12" s="19">
        <f>Sheet2!E12</f>
        <v>46163</v>
      </c>
      <c r="I12" s="14"/>
      <c r="J12" s="14" t="str">
        <f>Sheet2!C12</f>
        <v>T+0</v>
      </c>
      <c r="K12" s="14"/>
      <c r="L12" s="14">
        <f>Sheet2!F12</f>
        <v>2600002</v>
      </c>
      <c r="M12" s="14">
        <f>Sheet2!G12</f>
        <v>2000</v>
      </c>
      <c r="N12" s="14"/>
      <c r="O12" s="14"/>
      <c r="P12" s="14"/>
      <c r="Q12" s="14"/>
      <c r="R12" s="14"/>
      <c r="S12" s="14"/>
      <c r="T12" s="18">
        <f>ROUND([1]!b_calc_pv(L12,H12,Sheet2!H12,"1",1),4)</f>
        <v>99.292599999999993</v>
      </c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 t="str">
        <f>Sheet2!I12</f>
        <v>上家平安银行、浙江绍兴瑞丰农商银行，下家杭州银行资管，履行做市商职责，上下家不偏离。</v>
      </c>
    </row>
    <row r="13" spans="1:125" x14ac:dyDescent="0.4">
      <c r="A13" s="14" t="s">
        <v>117</v>
      </c>
      <c r="B13" s="14" t="s">
        <v>118</v>
      </c>
      <c r="C13" s="14"/>
      <c r="D13" s="14"/>
      <c r="E13" s="14"/>
      <c r="F13" s="14" t="str">
        <f>Sheet2!B13</f>
        <v>买入</v>
      </c>
      <c r="G13" s="14" t="str">
        <f>Sheet2!D13</f>
        <v>浙江绍兴瑞丰农商银行</v>
      </c>
      <c r="H13" s="19">
        <f>Sheet2!E13</f>
        <v>46163</v>
      </c>
      <c r="I13" s="14"/>
      <c r="J13" s="14" t="str">
        <f>Sheet2!C13</f>
        <v>T+0</v>
      </c>
      <c r="K13" s="14"/>
      <c r="L13" s="14">
        <f>Sheet2!F13</f>
        <v>2600002</v>
      </c>
      <c r="M13" s="14">
        <f>Sheet2!G13</f>
        <v>1000</v>
      </c>
      <c r="N13" s="14"/>
      <c r="O13" s="14"/>
      <c r="P13" s="14"/>
      <c r="Q13" s="14"/>
      <c r="R13" s="14"/>
      <c r="S13" s="14"/>
      <c r="T13" s="18">
        <f>ROUND([1]!b_calc_pv(L13,H13,Sheet2!H13,"1",1),4)</f>
        <v>99.292599999999993</v>
      </c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 t="str">
        <f>Sheet2!I13</f>
        <v>上家平安银行、浙江绍兴瑞丰农商银行，下家杭州银行资管，履行做市商职责，上下家不偏离。</v>
      </c>
    </row>
    <row r="14" spans="1:125" x14ac:dyDescent="0.4">
      <c r="A14" s="14" t="s">
        <v>117</v>
      </c>
      <c r="B14" s="14" t="s">
        <v>118</v>
      </c>
      <c r="C14" s="14"/>
      <c r="D14" s="14"/>
      <c r="E14" s="14"/>
      <c r="F14" s="14" t="str">
        <f>Sheet2!B14</f>
        <v>卖出</v>
      </c>
      <c r="G14" s="14" t="str">
        <f>Sheet2!D14</f>
        <v>杭州银行资管</v>
      </c>
      <c r="H14" s="19">
        <f>Sheet2!E14</f>
        <v>46163</v>
      </c>
      <c r="I14" s="14"/>
      <c r="J14" s="14" t="str">
        <f>Sheet2!C14</f>
        <v>T+0</v>
      </c>
      <c r="K14" s="14"/>
      <c r="L14" s="14">
        <f>Sheet2!F14</f>
        <v>2600002</v>
      </c>
      <c r="M14" s="14">
        <f>Sheet2!G14</f>
        <v>3000</v>
      </c>
      <c r="N14" s="14"/>
      <c r="O14" s="14"/>
      <c r="P14" s="14"/>
      <c r="Q14" s="14"/>
      <c r="R14" s="14"/>
      <c r="S14" s="14"/>
      <c r="T14" s="18">
        <f>ROUND([1]!b_calc_pv(L14,H14,Sheet2!H14,"1",1),4)</f>
        <v>99.292599999999993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 t="str">
        <f>Sheet2!I14</f>
        <v>上家平安银行、浙江绍兴瑞丰农商银行，下家杭州银行资管，履行做市商职责，上下家不偏离。</v>
      </c>
    </row>
    <row r="15" spans="1:125" x14ac:dyDescent="0.4">
      <c r="A15" s="14" t="s">
        <v>117</v>
      </c>
      <c r="B15" s="14" t="s">
        <v>118</v>
      </c>
      <c r="C15" s="14"/>
      <c r="D15" s="14"/>
      <c r="E15" s="14"/>
      <c r="F15" s="14" t="str">
        <f>Sheet2!B15</f>
        <v>买入</v>
      </c>
      <c r="G15" s="14" t="str">
        <f>Sheet2!D15</f>
        <v>内蒙古农商银行</v>
      </c>
      <c r="H15" s="19">
        <f>Sheet2!E15</f>
        <v>46163</v>
      </c>
      <c r="I15" s="14"/>
      <c r="J15" s="14" t="str">
        <f>Sheet2!C15</f>
        <v>T+0</v>
      </c>
      <c r="K15" s="14"/>
      <c r="L15" s="14">
        <f>Sheet2!F15</f>
        <v>260002</v>
      </c>
      <c r="M15" s="14">
        <f>Sheet2!G15</f>
        <v>10000</v>
      </c>
      <c r="N15" s="14"/>
      <c r="O15" s="14"/>
      <c r="P15" s="14"/>
      <c r="Q15" s="14"/>
      <c r="R15" s="14"/>
      <c r="S15" s="14"/>
      <c r="T15" s="18">
        <f>ROUND([1]!b_calc_pv(L15,H15,Sheet2!H15,"1",1),4)</f>
        <v>102.4067</v>
      </c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 t="str">
        <f>Sheet2!I15</f>
        <v>上家内蒙古农商银行，下家华福证券，履行做市商职责，上下家不偏离。</v>
      </c>
    </row>
    <row r="16" spans="1:125" x14ac:dyDescent="0.4">
      <c r="A16" s="14" t="s">
        <v>117</v>
      </c>
      <c r="B16" s="14" t="s">
        <v>118</v>
      </c>
      <c r="C16" s="14"/>
      <c r="D16" s="14"/>
      <c r="E16" s="14"/>
      <c r="F16" s="14" t="str">
        <f>Sheet2!B16</f>
        <v>卖出</v>
      </c>
      <c r="G16" s="14" t="str">
        <f>Sheet2!D16</f>
        <v>华福证券</v>
      </c>
      <c r="H16" s="19">
        <f>Sheet2!E16</f>
        <v>46163</v>
      </c>
      <c r="I16" s="14"/>
      <c r="J16" s="14" t="str">
        <f>Sheet2!C16</f>
        <v>T+0</v>
      </c>
      <c r="K16" s="14"/>
      <c r="L16" s="14">
        <f>Sheet2!F16</f>
        <v>260002</v>
      </c>
      <c r="M16" s="14">
        <f>Sheet2!G16</f>
        <v>10000</v>
      </c>
      <c r="N16" s="14"/>
      <c r="O16" s="14"/>
      <c r="P16" s="14"/>
      <c r="Q16" s="14"/>
      <c r="R16" s="14"/>
      <c r="S16" s="14"/>
      <c r="T16" s="18">
        <f>ROUND([1]!b_calc_pv(L16,H16,Sheet2!H16,"1",1),4)</f>
        <v>102.4067</v>
      </c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 t="str">
        <f>Sheet2!I16</f>
        <v>上家内蒙古农商银行，下家华福证券，履行做市商职责，上下家不偏离。</v>
      </c>
    </row>
    <row r="17" spans="1:44" x14ac:dyDescent="0.4">
      <c r="A17" s="14" t="s">
        <v>117</v>
      </c>
      <c r="B17" s="14" t="s">
        <v>118</v>
      </c>
      <c r="C17" s="14"/>
      <c r="D17" s="14"/>
      <c r="E17" s="14"/>
      <c r="F17" s="14" t="str">
        <f>Sheet2!B17</f>
        <v>买入</v>
      </c>
      <c r="G17" s="14" t="str">
        <f>Sheet2!D17</f>
        <v>宁波通商银行</v>
      </c>
      <c r="H17" s="19">
        <f>Sheet2!E17</f>
        <v>46163</v>
      </c>
      <c r="I17" s="14"/>
      <c r="J17" s="14" t="str">
        <f>Sheet2!C17</f>
        <v>T+0</v>
      </c>
      <c r="K17" s="14"/>
      <c r="L17" s="14">
        <f>Sheet2!F17</f>
        <v>250215</v>
      </c>
      <c r="M17" s="14">
        <f>Sheet2!G17</f>
        <v>5000</v>
      </c>
      <c r="N17" s="14"/>
      <c r="O17" s="14"/>
      <c r="P17" s="14"/>
      <c r="Q17" s="14"/>
      <c r="R17" s="14"/>
      <c r="S17" s="14"/>
      <c r="T17" s="18">
        <f>ROUND([1]!b_calc_pv(L17,H17,Sheet2!H17,"1",1),4)</f>
        <v>98.646000000000001</v>
      </c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 t="str">
        <f>Sheet2!I17</f>
        <v>上家宁波通商银行，下家陕西太白农商银行，履行做市商职责，上下家不偏离。</v>
      </c>
    </row>
    <row r="18" spans="1:44" x14ac:dyDescent="0.4">
      <c r="A18" s="14" t="s">
        <v>117</v>
      </c>
      <c r="B18" s="14" t="s">
        <v>118</v>
      </c>
      <c r="C18" s="14"/>
      <c r="D18" s="14"/>
      <c r="E18" s="14"/>
      <c r="F18" s="14" t="str">
        <f>Sheet2!B18</f>
        <v>卖出</v>
      </c>
      <c r="G18" s="14" t="str">
        <f>Sheet2!D18</f>
        <v>陕西太白农商银行</v>
      </c>
      <c r="H18" s="19">
        <f>Sheet2!E18</f>
        <v>46163</v>
      </c>
      <c r="I18" s="14"/>
      <c r="J18" s="14" t="str">
        <f>Sheet2!C18</f>
        <v>T+0</v>
      </c>
      <c r="K18" s="14"/>
      <c r="L18" s="14">
        <f>Sheet2!F18</f>
        <v>250215</v>
      </c>
      <c r="M18" s="14">
        <f>Sheet2!G18</f>
        <v>5000</v>
      </c>
      <c r="N18" s="14"/>
      <c r="O18" s="14"/>
      <c r="P18" s="14"/>
      <c r="Q18" s="14"/>
      <c r="R18" s="14"/>
      <c r="S18" s="14"/>
      <c r="T18" s="18">
        <f>ROUND([1]!b_calc_pv(L18,H18,Sheet2!H18,"1",1),4)</f>
        <v>98.646000000000001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 t="str">
        <f>Sheet2!I18</f>
        <v>上家宁波通商银行，下家陕西太白农商银行，履行做市商职责，上下家不偏离。</v>
      </c>
    </row>
    <row r="19" spans="1:44" x14ac:dyDescent="0.4">
      <c r="A19" s="14" t="s">
        <v>117</v>
      </c>
      <c r="B19" s="14" t="s">
        <v>118</v>
      </c>
      <c r="C19" s="14"/>
      <c r="D19" s="14"/>
      <c r="E19" s="14"/>
      <c r="F19" s="14" t="str">
        <f>Sheet2!B19</f>
        <v>买入</v>
      </c>
      <c r="G19" s="14" t="str">
        <f>Sheet2!D19</f>
        <v>苍南农商行</v>
      </c>
      <c r="H19" s="19">
        <f>Sheet2!E19</f>
        <v>46163</v>
      </c>
      <c r="I19" s="14"/>
      <c r="J19" s="14" t="str">
        <f>Sheet2!C19</f>
        <v>T+0</v>
      </c>
      <c r="K19" s="14"/>
      <c r="L19" s="14">
        <f>Sheet2!F19</f>
        <v>250014</v>
      </c>
      <c r="M19" s="14">
        <f>Sheet2!G19</f>
        <v>5000</v>
      </c>
      <c r="N19" s="14"/>
      <c r="O19" s="14"/>
      <c r="P19" s="14"/>
      <c r="Q19" s="14"/>
      <c r="R19" s="14"/>
      <c r="S19" s="14"/>
      <c r="T19" s="18">
        <f>ROUND([1]!b_calc_pv(L19,H19,Sheet2!H19,"1",1),4)</f>
        <v>100.7448</v>
      </c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 t="str">
        <f>Sheet2!I19</f>
        <v>上家苍南农商行，下家辽沈银行，履行做市商职责，上下家不偏离。</v>
      </c>
    </row>
    <row r="20" spans="1:44" x14ac:dyDescent="0.4">
      <c r="A20" s="14" t="s">
        <v>117</v>
      </c>
      <c r="B20" s="14" t="s">
        <v>118</v>
      </c>
      <c r="C20" s="14"/>
      <c r="D20" s="14"/>
      <c r="E20" s="14"/>
      <c r="F20" s="14" t="str">
        <f>Sheet2!B20</f>
        <v>卖出</v>
      </c>
      <c r="G20" s="14" t="str">
        <f>Sheet2!D20</f>
        <v>辽沈银行</v>
      </c>
      <c r="H20" s="19">
        <f>Sheet2!E20</f>
        <v>46163</v>
      </c>
      <c r="I20" s="14"/>
      <c r="J20" s="14" t="str">
        <f>Sheet2!C20</f>
        <v>T+0</v>
      </c>
      <c r="K20" s="14"/>
      <c r="L20" s="14">
        <f>Sheet2!F20</f>
        <v>250014</v>
      </c>
      <c r="M20" s="14">
        <f>Sheet2!G20</f>
        <v>5000</v>
      </c>
      <c r="N20" s="14"/>
      <c r="O20" s="14"/>
      <c r="P20" s="14"/>
      <c r="Q20" s="14"/>
      <c r="R20" s="14"/>
      <c r="S20" s="14"/>
      <c r="T20" s="18">
        <f>ROUND([1]!b_calc_pv(L20,H20,Sheet2!H20,"1",1),4)</f>
        <v>100.7448</v>
      </c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 t="str">
        <f>Sheet2!I20</f>
        <v>上家苍南农商行，下家辽沈银行，履行做市商职责，上下家不偏离。</v>
      </c>
    </row>
    <row r="21" spans="1:44" x14ac:dyDescent="0.4">
      <c r="A21" s="14" t="s">
        <v>117</v>
      </c>
      <c r="B21" s="14" t="s">
        <v>118</v>
      </c>
      <c r="C21" s="14"/>
      <c r="D21" s="14"/>
      <c r="E21" s="14"/>
      <c r="F21" s="14" t="str">
        <f>Sheet2!B21</f>
        <v>买入</v>
      </c>
      <c r="G21" s="14" t="str">
        <f>Sheet2!D21</f>
        <v>湖北兴山农商银行</v>
      </c>
      <c r="H21" s="19">
        <f>Sheet2!E21</f>
        <v>46163</v>
      </c>
      <c r="I21" s="14"/>
      <c r="J21" s="14" t="str">
        <f>Sheet2!C21</f>
        <v>T+0</v>
      </c>
      <c r="K21" s="14"/>
      <c r="L21" s="14">
        <f>Sheet2!F21</f>
        <v>210220</v>
      </c>
      <c r="M21" s="14">
        <f>Sheet2!G21</f>
        <v>2000</v>
      </c>
      <c r="N21" s="14"/>
      <c r="O21" s="14"/>
      <c r="P21" s="14"/>
      <c r="Q21" s="14"/>
      <c r="R21" s="14"/>
      <c r="S21" s="14"/>
      <c r="T21" s="18">
        <f>ROUND([1]!b_calc_pv(L21,H21,Sheet2!H21,"1",1),4)</f>
        <v>118.6383</v>
      </c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 t="str">
        <f>Sheet2!I21</f>
        <v>上家湖北兴山农商银行，下家沧州银行，履行做市商职责，上下家不偏离。</v>
      </c>
    </row>
    <row r="22" spans="1:44" x14ac:dyDescent="0.4">
      <c r="A22" s="14" t="s">
        <v>117</v>
      </c>
      <c r="B22" s="14" t="s">
        <v>118</v>
      </c>
      <c r="C22" s="14"/>
      <c r="D22" s="14"/>
      <c r="E22" s="14"/>
      <c r="F22" s="14" t="str">
        <f>Sheet2!B22</f>
        <v>卖出</v>
      </c>
      <c r="G22" s="14" t="str">
        <f>Sheet2!D22</f>
        <v>沧州银行</v>
      </c>
      <c r="H22" s="19">
        <f>Sheet2!E22</f>
        <v>46163</v>
      </c>
      <c r="I22" s="14"/>
      <c r="J22" s="14" t="str">
        <f>Sheet2!C22</f>
        <v>T+0</v>
      </c>
      <c r="K22" s="14"/>
      <c r="L22" s="14">
        <f>Sheet2!F22</f>
        <v>210220</v>
      </c>
      <c r="M22" s="14">
        <f>Sheet2!G22</f>
        <v>2000</v>
      </c>
      <c r="N22" s="14"/>
      <c r="O22" s="14"/>
      <c r="P22" s="14"/>
      <c r="Q22" s="14"/>
      <c r="R22" s="14"/>
      <c r="S22" s="14"/>
      <c r="T22" s="18">
        <f>ROUND([1]!b_calc_pv(L22,H22,Sheet2!H22,"1",1),4)</f>
        <v>118.6383</v>
      </c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 t="str">
        <f>Sheet2!I22</f>
        <v>上家湖北兴山农商银行，下家沧州银行，履行做市商职责，上下家不偏离。</v>
      </c>
    </row>
    <row r="23" spans="1:44" x14ac:dyDescent="0.4">
      <c r="A23" s="14" t="s">
        <v>117</v>
      </c>
      <c r="B23" s="14" t="s">
        <v>118</v>
      </c>
      <c r="C23" s="14"/>
      <c r="D23" s="14"/>
      <c r="E23" s="14"/>
      <c r="F23" s="14" t="str">
        <f>Sheet2!B23</f>
        <v>买入</v>
      </c>
      <c r="G23" s="14" t="str">
        <f>Sheet2!D23</f>
        <v>宁波通商银行</v>
      </c>
      <c r="H23" s="19">
        <f>Sheet2!E23</f>
        <v>46163</v>
      </c>
      <c r="I23" s="14"/>
      <c r="J23" s="14" t="str">
        <f>Sheet2!C23</f>
        <v>T+0</v>
      </c>
      <c r="K23" s="14"/>
      <c r="L23" s="14">
        <f>Sheet2!F23</f>
        <v>240205</v>
      </c>
      <c r="M23" s="14">
        <f>Sheet2!G23</f>
        <v>2000</v>
      </c>
      <c r="N23" s="14"/>
      <c r="O23" s="14"/>
      <c r="P23" s="14"/>
      <c r="Q23" s="14"/>
      <c r="R23" s="14"/>
      <c r="S23" s="14"/>
      <c r="T23" s="18">
        <f>ROUND([1]!b_calc_pv(L23,H23,Sheet2!H23,"1",1),4)</f>
        <v>106.32559999999999</v>
      </c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 t="str">
        <f>Sheet2!I23</f>
        <v>上家宁波通商银行，下家陕西凤翔农商银行，履行做市商职责，上下家不偏离。</v>
      </c>
    </row>
    <row r="24" spans="1:44" x14ac:dyDescent="0.4">
      <c r="A24" s="14" t="s">
        <v>117</v>
      </c>
      <c r="B24" s="14" t="s">
        <v>118</v>
      </c>
      <c r="C24" s="14"/>
      <c r="D24" s="14"/>
      <c r="E24" s="14"/>
      <c r="F24" s="14" t="str">
        <f>Sheet2!B24</f>
        <v>卖出</v>
      </c>
      <c r="G24" s="14" t="str">
        <f>Sheet2!D24</f>
        <v>陕西凤翔农商银行</v>
      </c>
      <c r="H24" s="19">
        <f>Sheet2!E24</f>
        <v>46163</v>
      </c>
      <c r="I24" s="14"/>
      <c r="J24" s="14" t="str">
        <f>Sheet2!C24</f>
        <v>T+0</v>
      </c>
      <c r="K24" s="14"/>
      <c r="L24" s="14">
        <f>Sheet2!F24</f>
        <v>240205</v>
      </c>
      <c r="M24" s="14">
        <f>Sheet2!G24</f>
        <v>2000</v>
      </c>
      <c r="N24" s="14"/>
      <c r="O24" s="14"/>
      <c r="P24" s="14"/>
      <c r="Q24" s="14"/>
      <c r="R24" s="14"/>
      <c r="S24" s="14"/>
      <c r="T24" s="18">
        <f>ROUND([1]!b_calc_pv(L24,H24,Sheet2!H24,"1",1),4)</f>
        <v>106.32559999999999</v>
      </c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 t="str">
        <f>Sheet2!I24</f>
        <v>上家宁波通商银行，下家陕西凤翔农商银行，履行做市商职责，上下家不偏离。</v>
      </c>
    </row>
    <row r="25" spans="1:44" x14ac:dyDescent="0.4">
      <c r="A25" s="14" t="s">
        <v>117</v>
      </c>
      <c r="B25" s="14" t="s">
        <v>118</v>
      </c>
      <c r="C25" s="14"/>
      <c r="D25" s="14"/>
      <c r="E25" s="14"/>
      <c r="F25" s="14" t="str">
        <f>Sheet2!B25</f>
        <v>买入</v>
      </c>
      <c r="G25" s="14" t="str">
        <f>Sheet2!D25</f>
        <v>新疆银行</v>
      </c>
      <c r="H25" s="19">
        <f>Sheet2!E25</f>
        <v>46163</v>
      </c>
      <c r="I25" s="14"/>
      <c r="J25" s="14" t="str">
        <f>Sheet2!C25</f>
        <v>T+0</v>
      </c>
      <c r="K25" s="14"/>
      <c r="L25" s="14">
        <f>Sheet2!F25</f>
        <v>230210</v>
      </c>
      <c r="M25" s="14">
        <f>Sheet2!G25</f>
        <v>2000</v>
      </c>
      <c r="N25" s="14"/>
      <c r="O25" s="14"/>
      <c r="P25" s="14"/>
      <c r="Q25" s="14"/>
      <c r="R25" s="14"/>
      <c r="S25" s="14"/>
      <c r="T25" s="18">
        <f>ROUND([1]!b_calc_pv(L25,H25,Sheet2!H25,"1",1),4)</f>
        <v>107.3356</v>
      </c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 t="str">
        <f>Sheet2!I25</f>
        <v>上家新疆银行，下家陕西石泉农商银行，履行做市商职责，上下家不偏离。</v>
      </c>
    </row>
    <row r="26" spans="1:44" x14ac:dyDescent="0.4">
      <c r="A26" s="14" t="s">
        <v>117</v>
      </c>
      <c r="B26" s="14" t="s">
        <v>118</v>
      </c>
      <c r="C26" s="14"/>
      <c r="D26" s="14"/>
      <c r="E26" s="14"/>
      <c r="F26" s="14" t="str">
        <f>Sheet2!B26</f>
        <v>卖出</v>
      </c>
      <c r="G26" s="14" t="str">
        <f>Sheet2!D26</f>
        <v>陕西石泉农商银行</v>
      </c>
      <c r="H26" s="19">
        <f>Sheet2!E26</f>
        <v>46163</v>
      </c>
      <c r="I26" s="14"/>
      <c r="J26" s="14" t="str">
        <f>Sheet2!C26</f>
        <v>T+0</v>
      </c>
      <c r="K26" s="14"/>
      <c r="L26" s="14">
        <f>Sheet2!F26</f>
        <v>230210</v>
      </c>
      <c r="M26" s="14">
        <f>Sheet2!G26</f>
        <v>2000</v>
      </c>
      <c r="N26" s="14"/>
      <c r="O26" s="14"/>
      <c r="P26" s="14"/>
      <c r="Q26" s="14"/>
      <c r="R26" s="14"/>
      <c r="S26" s="14"/>
      <c r="T26" s="18">
        <f>ROUND([1]!b_calc_pv(L26,H26,Sheet2!H26,"1",1),4)</f>
        <v>107.3356</v>
      </c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 t="str">
        <f>Sheet2!I26</f>
        <v>上家新疆银行，下家陕西石泉农商银行，履行做市商职责，上下家不偏离。</v>
      </c>
    </row>
    <row r="27" spans="1:44" x14ac:dyDescent="0.4">
      <c r="A27" s="14" t="s">
        <v>117</v>
      </c>
      <c r="B27" s="14" t="s">
        <v>118</v>
      </c>
      <c r="C27" s="14"/>
      <c r="D27" s="14"/>
      <c r="E27" s="14"/>
      <c r="F27" s="14" t="str">
        <f>Sheet2!B27</f>
        <v>买入</v>
      </c>
      <c r="G27" s="14" t="str">
        <f>Sheet2!D27</f>
        <v>正安县农联社</v>
      </c>
      <c r="H27" s="19">
        <f>Sheet2!E27</f>
        <v>46163</v>
      </c>
      <c r="I27" s="14"/>
      <c r="J27" s="14" t="str">
        <f>Sheet2!C27</f>
        <v>T+0</v>
      </c>
      <c r="K27" s="14"/>
      <c r="L27" s="14">
        <f>Sheet2!F27</f>
        <v>240013</v>
      </c>
      <c r="M27" s="14">
        <f>Sheet2!G27</f>
        <v>2000</v>
      </c>
      <c r="N27" s="14"/>
      <c r="O27" s="14"/>
      <c r="P27" s="14"/>
      <c r="Q27" s="14"/>
      <c r="R27" s="14"/>
      <c r="S27" s="14"/>
      <c r="T27" s="18">
        <f>ROUND([1]!b_calc_pv(L27,H27,Sheet2!H27,"1",1),4)</f>
        <v>103.3168</v>
      </c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 t="str">
        <f>Sheet2!I27</f>
        <v>上家正安县农联社，下家网商银行，履行做市商职责，上下家不偏离。</v>
      </c>
    </row>
    <row r="28" spans="1:44" ht="17.25" customHeight="1" x14ac:dyDescent="0.4">
      <c r="A28" s="14" t="s">
        <v>117</v>
      </c>
      <c r="B28" s="14" t="s">
        <v>118</v>
      </c>
      <c r="C28" s="14"/>
      <c r="D28" s="14"/>
      <c r="E28" s="14"/>
      <c r="F28" s="14" t="str">
        <f>Sheet2!B28</f>
        <v>卖出</v>
      </c>
      <c r="G28" s="14" t="str">
        <f>Sheet2!D28</f>
        <v>网商银行</v>
      </c>
      <c r="H28" s="19">
        <f>Sheet2!E28</f>
        <v>46163</v>
      </c>
      <c r="I28" s="14"/>
      <c r="J28" s="14" t="str">
        <f>Sheet2!C28</f>
        <v>T+0</v>
      </c>
      <c r="K28" s="14"/>
      <c r="L28" s="14">
        <f>Sheet2!F28</f>
        <v>240013</v>
      </c>
      <c r="M28" s="14">
        <f>Sheet2!G28</f>
        <v>2000</v>
      </c>
      <c r="N28" s="14"/>
      <c r="O28" s="14"/>
      <c r="P28" s="14"/>
      <c r="Q28" s="14"/>
      <c r="R28" s="14"/>
      <c r="S28" s="14"/>
      <c r="T28" s="18">
        <f>ROUND([1]!b_calc_pv(L28,H28,Sheet2!H28,"1",1),4)</f>
        <v>103.3168</v>
      </c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 t="str">
        <f>Sheet2!I28</f>
        <v>上家正安县农联社，下家网商银行，履行做市商职责，上下家不偏离。</v>
      </c>
    </row>
    <row r="29" spans="1:44" x14ac:dyDescent="0.4">
      <c r="A29" s="14" t="s">
        <v>117</v>
      </c>
      <c r="B29" s="14" t="s">
        <v>118</v>
      </c>
      <c r="C29" s="14"/>
      <c r="D29" s="14"/>
      <c r="E29" s="14"/>
      <c r="F29" s="14" t="str">
        <f>Sheet2!B29</f>
        <v>买入</v>
      </c>
      <c r="G29" s="14" t="str">
        <f>Sheet2!D29</f>
        <v>兴业银行（赵婧文）</v>
      </c>
      <c r="H29" s="19">
        <f>Sheet2!E29</f>
        <v>46163</v>
      </c>
      <c r="I29" s="14"/>
      <c r="J29" s="14" t="str">
        <f>Sheet2!C29</f>
        <v>T+0</v>
      </c>
      <c r="K29" s="14"/>
      <c r="L29" s="14">
        <f>Sheet2!F29</f>
        <v>260005</v>
      </c>
      <c r="M29" s="14">
        <f>Sheet2!G29</f>
        <v>20000</v>
      </c>
      <c r="N29" s="14"/>
      <c r="O29" s="14"/>
      <c r="P29" s="14"/>
      <c r="Q29" s="14"/>
      <c r="R29" s="14"/>
      <c r="S29" s="14"/>
      <c r="T29" s="18">
        <f>ROUND([1]!b_calc_pv(L29,H29,Sheet2!H29,"1",1),4)</f>
        <v>100.07510000000001</v>
      </c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 t="str">
        <f>Sheet2!I29</f>
        <v>上家兴业银行，下家陕西杨凌农商行、陕西榆林农商银行、江苏邳州农商行、东方财富证券，履行做市商职责，上下家不偏离。</v>
      </c>
    </row>
    <row r="30" spans="1:44" x14ac:dyDescent="0.4">
      <c r="A30" s="14" t="s">
        <v>117</v>
      </c>
      <c r="B30" s="14" t="s">
        <v>118</v>
      </c>
      <c r="C30" s="14"/>
      <c r="D30" s="14"/>
      <c r="E30" s="14"/>
      <c r="F30" s="14" t="str">
        <f>Sheet2!B30</f>
        <v>卖出</v>
      </c>
      <c r="G30" s="14" t="str">
        <f>Sheet2!D30</f>
        <v>陕西杨凌农商行</v>
      </c>
      <c r="H30" s="19">
        <f>Sheet2!E30</f>
        <v>46163</v>
      </c>
      <c r="I30" s="14"/>
      <c r="J30" s="14" t="str">
        <f>Sheet2!C30</f>
        <v>T+0</v>
      </c>
      <c r="K30" s="14"/>
      <c r="L30" s="14">
        <f>Sheet2!F30</f>
        <v>260005</v>
      </c>
      <c r="M30" s="14">
        <f>Sheet2!G30</f>
        <v>5000</v>
      </c>
      <c r="N30" s="14"/>
      <c r="O30" s="14"/>
      <c r="P30" s="14"/>
      <c r="Q30" s="14"/>
      <c r="R30" s="14"/>
      <c r="S30" s="14"/>
      <c r="T30" s="18">
        <f>ROUND([1]!b_calc_pv(L30,H30,Sheet2!H30,"1",1),4)</f>
        <v>100.07510000000001</v>
      </c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 t="str">
        <f>Sheet2!I30</f>
        <v>上家兴业银行，下家陕西杨凌农商行、陕西榆林农商银行、江苏邳州农商行、东方财富证券，履行做市商职责，上下家不偏离。</v>
      </c>
    </row>
    <row r="31" spans="1:44" x14ac:dyDescent="0.4">
      <c r="A31" s="14" t="s">
        <v>117</v>
      </c>
      <c r="B31" s="14" t="s">
        <v>118</v>
      </c>
      <c r="C31" s="14"/>
      <c r="D31" s="14"/>
      <c r="E31" s="14"/>
      <c r="F31" s="14" t="str">
        <f>Sheet2!B31</f>
        <v>卖出</v>
      </c>
      <c r="G31" s="14" t="str">
        <f>Sheet2!D31</f>
        <v>陕西榆林农商银行</v>
      </c>
      <c r="H31" s="19">
        <f>Sheet2!E31</f>
        <v>46163</v>
      </c>
      <c r="I31" s="14"/>
      <c r="J31" s="14" t="str">
        <f>Sheet2!C31</f>
        <v>T+0</v>
      </c>
      <c r="K31" s="14"/>
      <c r="L31" s="14">
        <f>Sheet2!F31</f>
        <v>260005</v>
      </c>
      <c r="M31" s="14">
        <f>Sheet2!G31</f>
        <v>5000</v>
      </c>
      <c r="N31" s="14"/>
      <c r="O31" s="14"/>
      <c r="P31" s="14"/>
      <c r="Q31" s="14"/>
      <c r="R31" s="14"/>
      <c r="S31" s="14"/>
      <c r="T31" s="18">
        <f>ROUND([1]!b_calc_pv(L31,H31,Sheet2!H31,"1",1),4)</f>
        <v>100.07510000000001</v>
      </c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 t="str">
        <f>Sheet2!I31</f>
        <v>上家兴业银行，下家陕西杨凌农商行、陕西榆林农商银行、江苏邳州农商行、东方财富证券，履行做市商职责，上下家不偏离。</v>
      </c>
    </row>
    <row r="32" spans="1:44" x14ac:dyDescent="0.4">
      <c r="A32" s="14" t="s">
        <v>117</v>
      </c>
      <c r="B32" s="14" t="s">
        <v>118</v>
      </c>
      <c r="C32" s="14"/>
      <c r="D32" s="14"/>
      <c r="E32" s="14"/>
      <c r="F32" s="14" t="str">
        <f>Sheet2!B32</f>
        <v>卖出</v>
      </c>
      <c r="G32" s="14" t="str">
        <f>Sheet2!D32</f>
        <v>江苏邳州农商行</v>
      </c>
      <c r="H32" s="19">
        <f>Sheet2!E32</f>
        <v>46163</v>
      </c>
      <c r="I32" s="14"/>
      <c r="J32" s="14" t="str">
        <f>Sheet2!C32</f>
        <v>T+0</v>
      </c>
      <c r="K32" s="14"/>
      <c r="L32" s="14">
        <f>Sheet2!F32</f>
        <v>260005</v>
      </c>
      <c r="M32" s="14">
        <f>Sheet2!G32</f>
        <v>5000</v>
      </c>
      <c r="N32" s="14"/>
      <c r="O32" s="14"/>
      <c r="P32" s="14"/>
      <c r="Q32" s="14"/>
      <c r="R32" s="14"/>
      <c r="S32" s="14"/>
      <c r="T32" s="18">
        <f>ROUND([1]!b_calc_pv(L32,H32,Sheet2!H32,"1",1),4)</f>
        <v>100.07510000000001</v>
      </c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 t="str">
        <f>Sheet2!I32</f>
        <v>上家兴业银行，下家陕西杨凌农商行、陕西榆林农商银行、江苏邳州农商行、东方财富证券，履行做市商职责，上下家不偏离。</v>
      </c>
    </row>
    <row r="33" spans="1:44" x14ac:dyDescent="0.4">
      <c r="A33" s="14" t="s">
        <v>117</v>
      </c>
      <c r="B33" s="14" t="s">
        <v>118</v>
      </c>
      <c r="C33" s="14"/>
      <c r="D33" s="14"/>
      <c r="E33" s="14"/>
      <c r="F33" s="14" t="str">
        <f>Sheet2!B33</f>
        <v>卖出</v>
      </c>
      <c r="G33" s="14" t="str">
        <f>Sheet2!D33</f>
        <v>东方财富证券</v>
      </c>
      <c r="H33" s="19">
        <f>Sheet2!E33</f>
        <v>46163</v>
      </c>
      <c r="I33" s="14"/>
      <c r="J33" s="14" t="str">
        <f>Sheet2!C33</f>
        <v>T+0</v>
      </c>
      <c r="K33" s="14"/>
      <c r="L33" s="14">
        <f>Sheet2!F33</f>
        <v>260005</v>
      </c>
      <c r="M33" s="14">
        <f>Sheet2!G33</f>
        <v>5000</v>
      </c>
      <c r="N33" s="14"/>
      <c r="O33" s="14"/>
      <c r="P33" s="14"/>
      <c r="Q33" s="14"/>
      <c r="R33" s="14"/>
      <c r="S33" s="14"/>
      <c r="T33" s="18">
        <f>ROUND([1]!b_calc_pv(L33,H33,Sheet2!H33,"1",1),4)</f>
        <v>100.07510000000001</v>
      </c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 t="str">
        <f>Sheet2!I33</f>
        <v>上家兴业银行，下家陕西杨凌农商行、陕西榆林农商银行、江苏邳州农商行、东方财富证券，履行做市商职责，上下家不偏离。</v>
      </c>
    </row>
    <row r="34" spans="1:44" x14ac:dyDescent="0.4">
      <c r="A34" s="14" t="s">
        <v>117</v>
      </c>
      <c r="B34" s="14" t="s">
        <v>118</v>
      </c>
      <c r="C34" s="14"/>
      <c r="D34" s="14"/>
      <c r="E34" s="14"/>
      <c r="F34" s="14" t="str">
        <f>Sheet2!B34</f>
        <v>买入</v>
      </c>
      <c r="G34" s="14" t="str">
        <f>Sheet2!D34</f>
        <v>广东化州农商银行</v>
      </c>
      <c r="H34" s="19">
        <f>Sheet2!E34</f>
        <v>46163</v>
      </c>
      <c r="I34" s="14"/>
      <c r="J34" s="14" t="str">
        <f>Sheet2!C34</f>
        <v>T+0</v>
      </c>
      <c r="K34" s="14"/>
      <c r="L34" s="14">
        <f>Sheet2!F34</f>
        <v>260205</v>
      </c>
      <c r="M34" s="14">
        <f>Sheet2!G34</f>
        <v>4000</v>
      </c>
      <c r="N34" s="14"/>
      <c r="O34" s="14"/>
      <c r="P34" s="14"/>
      <c r="Q34" s="14"/>
      <c r="R34" s="14"/>
      <c r="S34" s="14"/>
      <c r="T34" s="18">
        <f>ROUND([1]!b_calc_pv(L34,H34,Sheet2!H34,"1",1),4)</f>
        <v>100.99850000000001</v>
      </c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 t="str">
        <f>Sheet2!I34</f>
        <v>上家广东化州农商银行，下家潍坊银行，履行做市商职责，上下家不偏离。</v>
      </c>
    </row>
    <row r="35" spans="1:44" x14ac:dyDescent="0.4">
      <c r="A35" s="14" t="s">
        <v>117</v>
      </c>
      <c r="B35" s="14" t="s">
        <v>118</v>
      </c>
      <c r="C35" s="14"/>
      <c r="D35" s="14"/>
      <c r="E35" s="14"/>
      <c r="F35" s="14" t="str">
        <f>Sheet2!B35</f>
        <v>卖出</v>
      </c>
      <c r="G35" s="14" t="str">
        <f>Sheet2!D35</f>
        <v>潍坊银行</v>
      </c>
      <c r="H35" s="19">
        <f>Sheet2!E35</f>
        <v>46163</v>
      </c>
      <c r="I35" s="14"/>
      <c r="J35" s="14" t="str">
        <f>Sheet2!C35</f>
        <v>T+0</v>
      </c>
      <c r="K35" s="14"/>
      <c r="L35" s="14">
        <f>Sheet2!F35</f>
        <v>260205</v>
      </c>
      <c r="M35" s="14">
        <f>Sheet2!G35</f>
        <v>4000</v>
      </c>
      <c r="N35" s="14"/>
      <c r="O35" s="14"/>
      <c r="P35" s="14"/>
      <c r="Q35" s="14"/>
      <c r="R35" s="14"/>
      <c r="S35" s="14"/>
      <c r="T35" s="18">
        <f>ROUND([1]!b_calc_pv(L35,H35,Sheet2!H35,"1",1),4)</f>
        <v>100.99850000000001</v>
      </c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 t="str">
        <f>Sheet2!I35</f>
        <v>上家广东化州农商银行，下家潍坊银行，履行做市商职责，上下家不偏离。</v>
      </c>
    </row>
    <row r="36" spans="1:44" x14ac:dyDescent="0.4">
      <c r="A36" s="14" t="s">
        <v>117</v>
      </c>
      <c r="B36" s="14" t="s">
        <v>118</v>
      </c>
      <c r="C36" s="14"/>
      <c r="D36" s="14"/>
      <c r="E36" s="14"/>
      <c r="F36" s="14" t="str">
        <f>Sheet2!B36</f>
        <v>买入</v>
      </c>
      <c r="G36" s="14" t="str">
        <f>Sheet2!D36</f>
        <v>浙江海盐农商银行</v>
      </c>
      <c r="H36" s="19">
        <f>Sheet2!E36</f>
        <v>46163</v>
      </c>
      <c r="I36" s="14"/>
      <c r="J36" s="14" t="str">
        <f>Sheet2!C36</f>
        <v>T+0</v>
      </c>
      <c r="K36" s="14"/>
      <c r="L36" s="14">
        <f>Sheet2!F36</f>
        <v>250215</v>
      </c>
      <c r="M36" s="14">
        <f>Sheet2!G36</f>
        <v>2000</v>
      </c>
      <c r="N36" s="14"/>
      <c r="O36" s="14"/>
      <c r="P36" s="14"/>
      <c r="Q36" s="14"/>
      <c r="R36" s="14"/>
      <c r="S36" s="14"/>
      <c r="T36" s="18">
        <f>ROUND([1]!b_calc_pv(L36,H36,Sheet2!H36,"1",1),4)</f>
        <v>98.625399999999999</v>
      </c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 t="str">
        <f>Sheet2!I36</f>
        <v>上家浙江海盐农商银行，下家宁波通商银行，履行做市商职责，上下家不偏离。</v>
      </c>
    </row>
    <row r="37" spans="1:44" x14ac:dyDescent="0.4">
      <c r="A37" s="14" t="s">
        <v>117</v>
      </c>
      <c r="B37" s="14" t="s">
        <v>118</v>
      </c>
      <c r="C37" s="14"/>
      <c r="D37" s="14"/>
      <c r="E37" s="14"/>
      <c r="F37" s="14" t="str">
        <f>Sheet2!B37</f>
        <v>卖出</v>
      </c>
      <c r="G37" s="14" t="str">
        <f>Sheet2!D37</f>
        <v>宁波通商银行</v>
      </c>
      <c r="H37" s="19">
        <f>Sheet2!E37</f>
        <v>46163</v>
      </c>
      <c r="I37" s="14"/>
      <c r="J37" s="14" t="str">
        <f>Sheet2!C37</f>
        <v>T+0</v>
      </c>
      <c r="K37" s="14"/>
      <c r="L37" s="14">
        <f>Sheet2!F37</f>
        <v>250215</v>
      </c>
      <c r="M37" s="14">
        <f>Sheet2!G37</f>
        <v>2000</v>
      </c>
      <c r="N37" s="14"/>
      <c r="O37" s="14"/>
      <c r="P37" s="14"/>
      <c r="Q37" s="14"/>
      <c r="R37" s="14"/>
      <c r="S37" s="14"/>
      <c r="T37" s="18">
        <f>ROUND([1]!b_calc_pv(L37,H37,Sheet2!H37,"1",1),4)</f>
        <v>98.625399999999999</v>
      </c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 t="str">
        <f>Sheet2!I37</f>
        <v>上家浙江海盐农商银行，下家宁波通商银行，履行做市商职责，上下家不偏离。</v>
      </c>
    </row>
    <row r="38" spans="1:44" x14ac:dyDescent="0.4">
      <c r="A38" s="14" t="s">
        <v>117</v>
      </c>
      <c r="B38" s="14" t="s">
        <v>118</v>
      </c>
      <c r="C38" s="14"/>
      <c r="D38" s="14"/>
      <c r="E38" s="14"/>
      <c r="F38" s="14" t="str">
        <f>Sheet2!B38</f>
        <v>买入</v>
      </c>
      <c r="G38" s="14" t="str">
        <f>Sheet2!D38</f>
        <v>江苏滨海农商银行</v>
      </c>
      <c r="H38" s="19">
        <f>Sheet2!E38</f>
        <v>46163</v>
      </c>
      <c r="I38" s="14"/>
      <c r="J38" s="14" t="str">
        <f>Sheet2!C38</f>
        <v>T+0</v>
      </c>
      <c r="K38" s="14"/>
      <c r="L38" s="14">
        <f>Sheet2!F38</f>
        <v>260205</v>
      </c>
      <c r="M38" s="14">
        <f>Sheet2!G38</f>
        <v>3000</v>
      </c>
      <c r="N38" s="14"/>
      <c r="O38" s="14"/>
      <c r="P38" s="14"/>
      <c r="Q38" s="14"/>
      <c r="R38" s="14"/>
      <c r="S38" s="14"/>
      <c r="T38" s="18">
        <f>ROUND([1]!b_calc_pv(L38,H38,Sheet2!H38,"1",1),4)</f>
        <v>100.96720000000001</v>
      </c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 t="str">
        <f>Sheet2!I38</f>
        <v>上家江苏滨海农商银行，下家申港证券、江西裕民银行，履行做市商职责，上下家不偏离。</v>
      </c>
    </row>
    <row r="39" spans="1:44" x14ac:dyDescent="0.4">
      <c r="A39" s="14" t="s">
        <v>117</v>
      </c>
      <c r="B39" s="14" t="s">
        <v>118</v>
      </c>
      <c r="C39" s="14"/>
      <c r="D39" s="14"/>
      <c r="E39" s="14"/>
      <c r="F39" s="14" t="str">
        <f>Sheet2!B39</f>
        <v>卖出</v>
      </c>
      <c r="G39" s="14" t="str">
        <f>Sheet2!D39</f>
        <v>申港证券</v>
      </c>
      <c r="H39" s="19">
        <f>Sheet2!E39</f>
        <v>46163</v>
      </c>
      <c r="I39" s="14"/>
      <c r="J39" s="14" t="str">
        <f>Sheet2!C39</f>
        <v>T+0</v>
      </c>
      <c r="K39" s="14"/>
      <c r="L39" s="14">
        <f>Sheet2!F39</f>
        <v>260205</v>
      </c>
      <c r="M39" s="14">
        <f>Sheet2!G39</f>
        <v>2000</v>
      </c>
      <c r="N39" s="14"/>
      <c r="O39" s="14"/>
      <c r="P39" s="14"/>
      <c r="Q39" s="14"/>
      <c r="R39" s="14"/>
      <c r="S39" s="14"/>
      <c r="T39" s="18">
        <f>ROUND([1]!b_calc_pv(L39,H39,Sheet2!H39,"1",1),4)</f>
        <v>100.96720000000001</v>
      </c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 t="str">
        <f>Sheet2!I39</f>
        <v>上家江苏滨海农商银行，下家申港证券、江西裕民银行，履行做市商职责，上下家不偏离。</v>
      </c>
    </row>
    <row r="40" spans="1:44" x14ac:dyDescent="0.4">
      <c r="A40" s="14" t="s">
        <v>117</v>
      </c>
      <c r="B40" s="14" t="s">
        <v>118</v>
      </c>
      <c r="C40" s="14"/>
      <c r="D40" s="14"/>
      <c r="E40" s="14"/>
      <c r="F40" s="14" t="str">
        <f>Sheet2!B40</f>
        <v>卖出</v>
      </c>
      <c r="G40" s="14" t="str">
        <f>Sheet2!D40</f>
        <v>江西裕民银行</v>
      </c>
      <c r="H40" s="19">
        <f>Sheet2!E40</f>
        <v>46163</v>
      </c>
      <c r="I40" s="14"/>
      <c r="J40" s="14" t="str">
        <f>Sheet2!C40</f>
        <v>T+0</v>
      </c>
      <c r="K40" s="14"/>
      <c r="L40" s="14">
        <f>Sheet2!F40</f>
        <v>260205</v>
      </c>
      <c r="M40" s="14">
        <f>Sheet2!G40</f>
        <v>1000</v>
      </c>
      <c r="N40" s="14"/>
      <c r="O40" s="14"/>
      <c r="P40" s="14"/>
      <c r="Q40" s="14"/>
      <c r="R40" s="14"/>
      <c r="S40" s="14"/>
      <c r="T40" s="18">
        <f>ROUND([1]!b_calc_pv(L40,H40,Sheet2!H40,"1",1),4)</f>
        <v>100.96720000000001</v>
      </c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 t="str">
        <f>Sheet2!I40</f>
        <v>上家江苏滨海农商银行，下家申港证券、江西裕民银行，履行做市商职责，上下家不偏离。</v>
      </c>
    </row>
    <row r="41" spans="1:44" x14ac:dyDescent="0.4">
      <c r="A41" s="14"/>
      <c r="B41" s="14"/>
      <c r="C41" s="14"/>
      <c r="D41" s="14"/>
      <c r="E41" s="14"/>
      <c r="F41" s="14"/>
      <c r="G41" s="14"/>
      <c r="H41" s="19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8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</row>
    <row r="42" spans="1:44" x14ac:dyDescent="0.4">
      <c r="A42" s="14"/>
      <c r="B42" s="14"/>
      <c r="C42" s="14"/>
      <c r="D42" s="14"/>
      <c r="E42" s="14"/>
      <c r="F42" s="14"/>
      <c r="G42" s="14"/>
      <c r="H42" s="19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8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</row>
    <row r="43" spans="1:44" x14ac:dyDescent="0.4">
      <c r="A43" s="14"/>
      <c r="B43" s="14"/>
      <c r="C43" s="14"/>
      <c r="D43" s="14"/>
      <c r="E43" s="14"/>
      <c r="F43" s="14"/>
      <c r="G43" s="14"/>
      <c r="H43" s="19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8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</row>
    <row r="44" spans="1:44" x14ac:dyDescent="0.4">
      <c r="A44" s="14"/>
      <c r="B44" s="14"/>
      <c r="C44" s="14"/>
      <c r="D44" s="14"/>
      <c r="E44" s="14"/>
      <c r="F44" s="14"/>
      <c r="G44" s="14"/>
      <c r="H44" s="19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8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</row>
    <row r="45" spans="1:44" x14ac:dyDescent="0.4">
      <c r="A45" s="14"/>
      <c r="B45" s="14"/>
      <c r="C45" s="14"/>
      <c r="D45" s="14"/>
      <c r="E45" s="14"/>
      <c r="F45" s="14"/>
      <c r="G45" s="14"/>
      <c r="H45" s="19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8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</row>
    <row r="46" spans="1:44" x14ac:dyDescent="0.4">
      <c r="A46" s="14"/>
      <c r="B46" s="14"/>
      <c r="C46" s="14"/>
      <c r="D46" s="14"/>
      <c r="E46" s="14"/>
      <c r="F46" s="14"/>
      <c r="G46" s="14"/>
      <c r="H46" s="19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8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</row>
    <row r="47" spans="1:44" x14ac:dyDescent="0.4">
      <c r="A47" s="14"/>
      <c r="B47" s="14"/>
      <c r="C47" s="14"/>
      <c r="D47" s="14"/>
      <c r="E47" s="14"/>
      <c r="F47" s="14"/>
      <c r="G47" s="14"/>
      <c r="H47" s="19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8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</row>
    <row r="48" spans="1:44" x14ac:dyDescent="0.4">
      <c r="A48" s="14"/>
      <c r="B48" s="14"/>
      <c r="C48" s="14"/>
      <c r="D48" s="14"/>
      <c r="E48" s="14"/>
      <c r="F48" s="14"/>
      <c r="G48" s="14"/>
      <c r="H48" s="19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8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</row>
    <row r="49" spans="1:44" x14ac:dyDescent="0.4">
      <c r="A49" s="14"/>
      <c r="B49" s="14"/>
      <c r="C49" s="14"/>
      <c r="D49" s="14"/>
      <c r="E49" s="14"/>
      <c r="F49" s="14"/>
      <c r="G49" s="14"/>
      <c r="H49" s="19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8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</row>
    <row r="50" spans="1:44" x14ac:dyDescent="0.4">
      <c r="A50" s="14"/>
      <c r="B50" s="14"/>
      <c r="C50" s="14"/>
      <c r="D50" s="14"/>
      <c r="E50" s="14"/>
      <c r="F50" s="14"/>
      <c r="G50" s="14"/>
      <c r="H50" s="19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8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</row>
    <row r="51" spans="1:44" x14ac:dyDescent="0.4">
      <c r="A51" s="14"/>
      <c r="B51" s="14"/>
      <c r="C51" s="14"/>
      <c r="D51" s="14"/>
      <c r="E51" s="14"/>
      <c r="F51" s="14"/>
      <c r="G51" s="14"/>
      <c r="H51" s="19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8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</row>
    <row r="52" spans="1:44" x14ac:dyDescent="0.4">
      <c r="A52" s="14"/>
      <c r="B52" s="14"/>
      <c r="C52" s="14"/>
      <c r="D52" s="14"/>
      <c r="E52" s="14"/>
      <c r="F52" s="14"/>
      <c r="G52" s="14"/>
      <c r="H52" s="19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8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</row>
    <row r="53" spans="1:44" x14ac:dyDescent="0.4">
      <c r="A53" s="14"/>
      <c r="B53" s="14"/>
      <c r="C53" s="14"/>
      <c r="D53" s="14"/>
      <c r="E53" s="14"/>
      <c r="F53" s="14"/>
      <c r="G53" s="14"/>
      <c r="H53" s="19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8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</row>
    <row r="54" spans="1:44" x14ac:dyDescent="0.4">
      <c r="A54" s="14"/>
      <c r="B54" s="14"/>
      <c r="C54" s="14"/>
      <c r="D54" s="14"/>
      <c r="E54" s="14"/>
      <c r="F54" s="14"/>
      <c r="G54" s="14"/>
      <c r="H54" s="19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8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</row>
    <row r="55" spans="1:44" x14ac:dyDescent="0.4">
      <c r="A55" s="14"/>
      <c r="B55" s="14"/>
      <c r="C55" s="14"/>
      <c r="D55" s="14"/>
      <c r="E55" s="14"/>
      <c r="F55" s="14"/>
      <c r="G55" s="14"/>
      <c r="H55" s="19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8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</row>
    <row r="56" spans="1:44" x14ac:dyDescent="0.4">
      <c r="A56" s="14"/>
      <c r="B56" s="14"/>
      <c r="C56" s="14"/>
      <c r="D56" s="14"/>
      <c r="E56" s="14"/>
      <c r="F56" s="14"/>
      <c r="G56" s="14"/>
      <c r="H56" s="19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8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</row>
    <row r="57" spans="1:44" x14ac:dyDescent="0.4">
      <c r="A57" s="14"/>
      <c r="B57" s="14"/>
      <c r="C57" s="14"/>
      <c r="D57" s="14"/>
      <c r="E57" s="14"/>
      <c r="F57" s="14"/>
      <c r="G57" s="14"/>
      <c r="H57" s="19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8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</row>
    <row r="58" spans="1:44" x14ac:dyDescent="0.4">
      <c r="A58" s="14"/>
      <c r="B58" s="14"/>
      <c r="C58" s="14"/>
      <c r="D58" s="14"/>
      <c r="E58" s="14"/>
      <c r="F58" s="14"/>
      <c r="G58" s="14"/>
      <c r="H58" s="19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8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</row>
    <row r="59" spans="1:44" x14ac:dyDescent="0.4">
      <c r="A59" s="14"/>
      <c r="B59" s="14"/>
      <c r="C59" s="14"/>
      <c r="D59" s="14"/>
      <c r="E59" s="14"/>
      <c r="F59" s="14"/>
      <c r="G59" s="14"/>
      <c r="H59" s="19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8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</row>
    <row r="60" spans="1:44" x14ac:dyDescent="0.4">
      <c r="A60" s="14"/>
      <c r="B60" s="14"/>
      <c r="C60" s="14"/>
      <c r="D60" s="14"/>
      <c r="E60" s="14"/>
      <c r="F60" s="14"/>
      <c r="G60" s="14"/>
      <c r="H60" s="19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8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</row>
    <row r="61" spans="1:44" x14ac:dyDescent="0.4">
      <c r="A61" s="14"/>
      <c r="B61" s="14"/>
      <c r="C61" s="14"/>
      <c r="D61" s="14"/>
      <c r="E61" s="14"/>
      <c r="F61" s="14"/>
      <c r="G61" s="14"/>
      <c r="H61" s="19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8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</row>
    <row r="62" spans="1:44" x14ac:dyDescent="0.4">
      <c r="A62" s="14"/>
      <c r="B62" s="14"/>
      <c r="C62" s="14"/>
      <c r="D62" s="14"/>
      <c r="E62" s="14"/>
      <c r="F62" s="14"/>
      <c r="G62" s="14"/>
      <c r="H62" s="19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8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</row>
    <row r="63" spans="1:44" x14ac:dyDescent="0.4">
      <c r="A63" s="14"/>
      <c r="B63" s="14"/>
      <c r="C63" s="14"/>
      <c r="D63" s="14"/>
      <c r="E63" s="14"/>
      <c r="F63" s="14"/>
      <c r="G63" s="14"/>
      <c r="H63" s="19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8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</row>
    <row r="64" spans="1:44" x14ac:dyDescent="0.4">
      <c r="A64" s="14"/>
      <c r="B64" s="14"/>
      <c r="C64" s="14"/>
      <c r="D64" s="14"/>
      <c r="E64" s="14"/>
      <c r="F64" s="14"/>
      <c r="G64" s="14"/>
      <c r="H64" s="19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8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</row>
    <row r="65" spans="1:44" x14ac:dyDescent="0.4">
      <c r="A65" s="14"/>
      <c r="B65" s="14"/>
      <c r="C65" s="14"/>
      <c r="D65" s="14"/>
      <c r="E65" s="14"/>
      <c r="F65" s="14"/>
      <c r="G65" s="14"/>
      <c r="H65" s="19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8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</row>
    <row r="66" spans="1:44" x14ac:dyDescent="0.4">
      <c r="A66" s="14"/>
      <c r="B66" s="14"/>
      <c r="C66" s="14"/>
      <c r="D66" s="14"/>
      <c r="E66" s="14"/>
      <c r="F66" s="14"/>
      <c r="G66" s="14"/>
      <c r="H66" s="19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8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</row>
    <row r="67" spans="1:44" x14ac:dyDescent="0.4">
      <c r="A67" s="14"/>
      <c r="B67" s="14"/>
      <c r="C67" s="14"/>
      <c r="D67" s="14"/>
      <c r="E67" s="14"/>
      <c r="F67" s="14"/>
      <c r="G67" s="14"/>
      <c r="H67" s="19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8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</row>
    <row r="68" spans="1:44" x14ac:dyDescent="0.4">
      <c r="A68" s="14"/>
      <c r="B68" s="14"/>
      <c r="C68" s="14"/>
      <c r="D68" s="14"/>
      <c r="E68" s="14"/>
      <c r="F68" s="14"/>
      <c r="G68" s="14"/>
      <c r="H68" s="19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8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</row>
    <row r="69" spans="1:44" x14ac:dyDescent="0.4">
      <c r="A69" s="14"/>
      <c r="B69" s="14"/>
      <c r="C69" s="14"/>
      <c r="D69" s="14"/>
      <c r="E69" s="14"/>
      <c r="F69" s="14"/>
      <c r="G69" s="14"/>
      <c r="H69" s="19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8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</row>
    <row r="70" spans="1:44" x14ac:dyDescent="0.4">
      <c r="A70" s="14"/>
      <c r="B70" s="14"/>
      <c r="C70" s="14"/>
      <c r="D70" s="14"/>
      <c r="E70" s="14"/>
      <c r="F70" s="14"/>
      <c r="G70" s="14"/>
      <c r="H70" s="19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8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</row>
    <row r="71" spans="1:44" x14ac:dyDescent="0.4">
      <c r="A71" s="14"/>
      <c r="B71" s="14"/>
      <c r="C71" s="14"/>
      <c r="D71" s="14"/>
      <c r="E71" s="14"/>
      <c r="F71" s="14"/>
      <c r="G71" s="14"/>
      <c r="H71" s="19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8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</row>
    <row r="72" spans="1:44" x14ac:dyDescent="0.4">
      <c r="A72" s="14"/>
      <c r="B72" s="14"/>
      <c r="C72" s="14"/>
      <c r="D72" s="14"/>
      <c r="E72" s="14"/>
      <c r="F72" s="14"/>
      <c r="G72" s="14"/>
      <c r="H72" s="19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8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</row>
    <row r="73" spans="1:44" x14ac:dyDescent="0.4">
      <c r="A73" s="14"/>
      <c r="B73" s="14"/>
      <c r="C73" s="14"/>
      <c r="D73" s="14"/>
      <c r="E73" s="14"/>
      <c r="F73" s="14"/>
      <c r="G73" s="14"/>
      <c r="H73" s="19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8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</row>
    <row r="74" spans="1:44" x14ac:dyDescent="0.4">
      <c r="A74" s="14"/>
      <c r="B74" s="14"/>
      <c r="C74" s="14"/>
      <c r="D74" s="14"/>
      <c r="E74" s="14"/>
      <c r="F74" s="14"/>
      <c r="G74" s="14"/>
      <c r="H74" s="19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8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</row>
    <row r="75" spans="1:44" x14ac:dyDescent="0.4">
      <c r="A75" s="14"/>
      <c r="B75" s="14"/>
      <c r="C75" s="14"/>
      <c r="D75" s="14"/>
      <c r="E75" s="14"/>
      <c r="F75" s="14"/>
      <c r="G75" s="14"/>
      <c r="H75" s="19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8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</row>
    <row r="76" spans="1:44" x14ac:dyDescent="0.4">
      <c r="A76" s="14"/>
      <c r="B76" s="14"/>
      <c r="C76" s="14"/>
      <c r="D76" s="14"/>
      <c r="E76" s="14"/>
      <c r="F76" s="14"/>
      <c r="G76" s="14"/>
      <c r="H76" s="19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8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</row>
    <row r="77" spans="1:44" x14ac:dyDescent="0.4">
      <c r="A77" s="14"/>
      <c r="B77" s="14"/>
      <c r="C77" s="14"/>
      <c r="D77" s="14"/>
      <c r="E77" s="14"/>
      <c r="F77" s="14"/>
      <c r="G77" s="14"/>
      <c r="H77" s="19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8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</row>
    <row r="78" spans="1:44" x14ac:dyDescent="0.4">
      <c r="A78" s="14"/>
      <c r="B78" s="14"/>
      <c r="C78" s="14"/>
      <c r="D78" s="14"/>
      <c r="E78" s="14"/>
      <c r="F78" s="14"/>
      <c r="G78" s="14"/>
      <c r="H78" s="19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8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</row>
    <row r="79" spans="1:44" x14ac:dyDescent="0.4">
      <c r="A79" s="14"/>
      <c r="B79" s="14"/>
      <c r="C79" s="14"/>
      <c r="D79" s="14"/>
      <c r="E79" s="14"/>
      <c r="F79" s="14"/>
      <c r="G79" s="14"/>
      <c r="H79" s="19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8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</row>
    <row r="80" spans="1:44" x14ac:dyDescent="0.4">
      <c r="A80" s="14"/>
      <c r="B80" s="14"/>
      <c r="C80" s="14"/>
      <c r="D80" s="14"/>
      <c r="E80" s="14"/>
      <c r="F80" s="14"/>
      <c r="G80" s="14"/>
      <c r="H80" s="19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8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</row>
    <row r="81" spans="1:44" x14ac:dyDescent="0.4">
      <c r="A81" s="14"/>
      <c r="B81" s="14"/>
      <c r="C81" s="14"/>
      <c r="D81" s="14"/>
      <c r="E81" s="14"/>
      <c r="F81" s="14"/>
      <c r="G81" s="14"/>
      <c r="H81" s="19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8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</row>
    <row r="82" spans="1:44" x14ac:dyDescent="0.4">
      <c r="A82" s="14"/>
      <c r="B82" s="14"/>
      <c r="C82" s="14"/>
      <c r="D82" s="14"/>
      <c r="E82" s="14"/>
      <c r="F82" s="14"/>
      <c r="G82" s="14"/>
      <c r="H82" s="19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8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</row>
    <row r="83" spans="1:44" x14ac:dyDescent="0.4">
      <c r="A83" s="14"/>
      <c r="B83" s="14"/>
      <c r="C83" s="14"/>
      <c r="D83" s="14"/>
      <c r="E83" s="14"/>
      <c r="F83" s="14"/>
      <c r="G83" s="14"/>
      <c r="H83" s="19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8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</row>
    <row r="84" spans="1:44" x14ac:dyDescent="0.4">
      <c r="A84" s="14"/>
      <c r="B84" s="14"/>
      <c r="C84" s="14"/>
      <c r="D84" s="14"/>
      <c r="E84" s="14"/>
      <c r="F84" s="14"/>
      <c r="G84" s="14"/>
      <c r="H84" s="19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8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</row>
    <row r="85" spans="1:44" x14ac:dyDescent="0.4">
      <c r="A85" s="14"/>
      <c r="B85" s="14"/>
      <c r="C85" s="14"/>
      <c r="D85" s="14"/>
      <c r="E85" s="14"/>
      <c r="F85" s="14"/>
      <c r="G85" s="14"/>
      <c r="H85" s="19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8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</row>
    <row r="86" spans="1:44" x14ac:dyDescent="0.4">
      <c r="A86" s="14"/>
      <c r="B86" s="14"/>
      <c r="C86" s="14"/>
      <c r="D86" s="14"/>
      <c r="E86" s="14"/>
      <c r="F86" s="14"/>
      <c r="G86" s="14"/>
      <c r="H86" s="19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8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</row>
    <row r="87" spans="1:44" x14ac:dyDescent="0.4">
      <c r="A87" s="14"/>
      <c r="B87" s="14"/>
      <c r="C87" s="14"/>
      <c r="D87" s="14"/>
      <c r="E87" s="14"/>
      <c r="F87" s="14"/>
      <c r="G87" s="14"/>
      <c r="H87" s="19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8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</row>
    <row r="88" spans="1:44" x14ac:dyDescent="0.4">
      <c r="A88" s="14"/>
      <c r="B88" s="14"/>
      <c r="C88" s="14"/>
      <c r="D88" s="14"/>
      <c r="E88" s="14"/>
      <c r="F88" s="14"/>
      <c r="G88" s="14"/>
      <c r="H88" s="19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8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</row>
    <row r="89" spans="1:44" x14ac:dyDescent="0.4">
      <c r="H89" s="1"/>
      <c r="L89" s="8"/>
      <c r="M89" s="9"/>
      <c r="P89" s="10"/>
    </row>
    <row r="90" spans="1:44" x14ac:dyDescent="0.4">
      <c r="H90" s="1"/>
      <c r="L90" s="8"/>
      <c r="M90" s="9"/>
      <c r="P90" s="10"/>
    </row>
    <row r="91" spans="1:44" x14ac:dyDescent="0.4">
      <c r="H91" s="1"/>
      <c r="L91" s="8"/>
      <c r="M91" s="9"/>
      <c r="P91" s="10"/>
    </row>
    <row r="92" spans="1:44" x14ac:dyDescent="0.4">
      <c r="H92" s="1"/>
      <c r="L92" s="8"/>
      <c r="M92" s="9"/>
      <c r="P92" s="10"/>
    </row>
    <row r="93" spans="1:44" x14ac:dyDescent="0.4">
      <c r="H93" s="1"/>
      <c r="L93" s="8"/>
      <c r="M93" s="9"/>
      <c r="P93" s="10"/>
    </row>
    <row r="94" spans="1:44" x14ac:dyDescent="0.4">
      <c r="H94" s="1"/>
      <c r="L94" s="8"/>
      <c r="M94" s="9"/>
      <c r="P94" s="10"/>
    </row>
    <row r="95" spans="1:44" x14ac:dyDescent="0.4">
      <c r="H95" s="1"/>
      <c r="L95" s="8"/>
      <c r="M95" s="9"/>
      <c r="P95" s="10"/>
    </row>
    <row r="96" spans="1:44" x14ac:dyDescent="0.4">
      <c r="H96" s="1"/>
      <c r="L96" s="8"/>
      <c r="M96" s="9"/>
      <c r="P96" s="10"/>
    </row>
    <row r="97" spans="8:16" x14ac:dyDescent="0.4">
      <c r="H97" s="1"/>
      <c r="L97" s="8"/>
      <c r="M97" s="9"/>
      <c r="P97" s="10"/>
    </row>
    <row r="98" spans="8:16" x14ac:dyDescent="0.4">
      <c r="H98" s="1"/>
      <c r="L98" s="8"/>
      <c r="M98" s="9"/>
      <c r="P98" s="10"/>
    </row>
    <row r="99" spans="8:16" x14ac:dyDescent="0.4">
      <c r="H99" s="1"/>
      <c r="L99" s="8"/>
      <c r="M99" s="9"/>
      <c r="P99" s="10"/>
    </row>
    <row r="100" spans="8:16" x14ac:dyDescent="0.4">
      <c r="H100" s="1"/>
      <c r="L100" s="8"/>
      <c r="M100" s="9"/>
      <c r="P100" s="10"/>
    </row>
    <row r="101" spans="8:16" x14ac:dyDescent="0.4">
      <c r="H101" s="1"/>
      <c r="L101" s="8"/>
      <c r="M101" s="9"/>
      <c r="P101" s="10"/>
    </row>
    <row r="102" spans="8:16" x14ac:dyDescent="0.4">
      <c r="H102" s="1"/>
      <c r="L102" s="8"/>
      <c r="M102" s="9"/>
      <c r="P102" s="10"/>
    </row>
    <row r="103" spans="8:16" x14ac:dyDescent="0.4">
      <c r="H103" s="1"/>
      <c r="L103" s="8"/>
      <c r="M103" s="9"/>
      <c r="P103" s="10"/>
    </row>
    <row r="104" spans="8:16" x14ac:dyDescent="0.4">
      <c r="H104" s="1"/>
      <c r="L104" s="8"/>
      <c r="M104" s="9"/>
      <c r="P104" s="10"/>
    </row>
    <row r="105" spans="8:16" x14ac:dyDescent="0.4">
      <c r="H105" s="1"/>
      <c r="L105" s="8"/>
      <c r="M105" s="9"/>
      <c r="P105" s="10"/>
    </row>
    <row r="106" spans="8:16" x14ac:dyDescent="0.4">
      <c r="H106" s="1"/>
      <c r="L106" s="8"/>
      <c r="M106" s="9"/>
      <c r="P106" s="10"/>
    </row>
    <row r="107" spans="8:16" x14ac:dyDescent="0.4">
      <c r="H107" s="1"/>
      <c r="L107" s="8"/>
      <c r="M107" s="9"/>
      <c r="P107" s="10"/>
    </row>
    <row r="108" spans="8:16" x14ac:dyDescent="0.4">
      <c r="H108" s="1"/>
      <c r="L108" s="8"/>
      <c r="M108" s="9"/>
      <c r="P108" s="10"/>
    </row>
    <row r="109" spans="8:16" x14ac:dyDescent="0.4">
      <c r="H109" s="1"/>
      <c r="L109" s="8"/>
      <c r="M109" s="9"/>
      <c r="P109" s="10"/>
    </row>
    <row r="110" spans="8:16" x14ac:dyDescent="0.4">
      <c r="H110" s="1"/>
      <c r="L110" s="8"/>
      <c r="M110" s="9"/>
      <c r="P110" s="10"/>
    </row>
    <row r="111" spans="8:16" x14ac:dyDescent="0.4">
      <c r="H111" s="1"/>
      <c r="L111" s="8"/>
      <c r="M111" s="9"/>
      <c r="P111" s="10"/>
    </row>
    <row r="112" spans="8:16" x14ac:dyDescent="0.4">
      <c r="H112" s="1"/>
      <c r="L112" s="8"/>
      <c r="M112" s="9"/>
      <c r="P112" s="10"/>
    </row>
    <row r="113" spans="8:16" x14ac:dyDescent="0.4">
      <c r="H113" s="1"/>
      <c r="L113" s="8"/>
      <c r="M113" s="9"/>
      <c r="P113" s="10"/>
    </row>
    <row r="114" spans="8:16" x14ac:dyDescent="0.4">
      <c r="H114" s="1"/>
      <c r="L114" s="8"/>
      <c r="M114" s="9"/>
      <c r="P114" s="10"/>
    </row>
    <row r="115" spans="8:16" x14ac:dyDescent="0.4">
      <c r="H115" s="1"/>
      <c r="L115" s="8"/>
      <c r="M115" s="9"/>
      <c r="P115" s="10"/>
    </row>
    <row r="116" spans="8:16" x14ac:dyDescent="0.4">
      <c r="H116" s="1"/>
      <c r="L116" s="8"/>
      <c r="M116" s="9"/>
      <c r="P116" s="10"/>
    </row>
    <row r="117" spans="8:16" x14ac:dyDescent="0.4">
      <c r="H117" s="1"/>
      <c r="L117" s="8"/>
      <c r="M117" s="9"/>
      <c r="P117" s="10"/>
    </row>
    <row r="118" spans="8:16" x14ac:dyDescent="0.4">
      <c r="H118" s="1"/>
      <c r="L118" s="8"/>
      <c r="M118" s="9"/>
      <c r="P118" s="10"/>
    </row>
    <row r="119" spans="8:16" x14ac:dyDescent="0.4">
      <c r="H119" s="1"/>
      <c r="L119" s="8"/>
      <c r="M119" s="9"/>
      <c r="P119" s="10"/>
    </row>
    <row r="120" spans="8:16" x14ac:dyDescent="0.4">
      <c r="H120" s="1"/>
      <c r="L120" s="8"/>
      <c r="M120" s="9"/>
      <c r="P120" s="10"/>
    </row>
    <row r="121" spans="8:16" x14ac:dyDescent="0.4">
      <c r="H121" s="1"/>
      <c r="L121" s="8"/>
      <c r="M121" s="9"/>
      <c r="P121" s="10"/>
    </row>
    <row r="122" spans="8:16" x14ac:dyDescent="0.4">
      <c r="H122" s="1"/>
      <c r="L122" s="8"/>
      <c r="M122" s="9"/>
      <c r="P122" s="10"/>
    </row>
    <row r="123" spans="8:16" x14ac:dyDescent="0.4">
      <c r="H123" s="1"/>
      <c r="L123" s="8"/>
      <c r="M123" s="9"/>
      <c r="P123" s="10"/>
    </row>
    <row r="124" spans="8:16" x14ac:dyDescent="0.4">
      <c r="H124" s="1"/>
      <c r="L124" s="8"/>
      <c r="M124" s="9"/>
      <c r="P124" s="10"/>
    </row>
    <row r="125" spans="8:16" x14ac:dyDescent="0.4">
      <c r="H125" s="1"/>
      <c r="L125" s="8"/>
      <c r="M125" s="9"/>
      <c r="P125" s="10"/>
    </row>
    <row r="126" spans="8:16" x14ac:dyDescent="0.4">
      <c r="H126" s="1"/>
      <c r="L126" s="8"/>
      <c r="M126" s="9"/>
      <c r="P126" s="10"/>
    </row>
    <row r="127" spans="8:16" x14ac:dyDescent="0.4">
      <c r="H127" s="1"/>
      <c r="L127" s="8"/>
      <c r="M127" s="9"/>
      <c r="P127" s="10"/>
    </row>
    <row r="128" spans="8:16" x14ac:dyDescent="0.4">
      <c r="H128" s="1"/>
      <c r="L128" s="8"/>
      <c r="M128" s="9"/>
      <c r="P128" s="10"/>
    </row>
    <row r="129" spans="8:16" x14ac:dyDescent="0.4">
      <c r="H129" s="1"/>
      <c r="L129" s="8"/>
      <c r="M129" s="9"/>
      <c r="P129" s="10"/>
    </row>
    <row r="130" spans="8:16" x14ac:dyDescent="0.4">
      <c r="H130" s="1"/>
      <c r="L130" s="8"/>
      <c r="M130" s="9"/>
      <c r="P130" s="10"/>
    </row>
    <row r="131" spans="8:16" x14ac:dyDescent="0.4">
      <c r="H131" s="1"/>
      <c r="L131" s="8"/>
      <c r="M131" s="9"/>
      <c r="P131" s="10"/>
    </row>
    <row r="132" spans="8:16" x14ac:dyDescent="0.4">
      <c r="H132" s="1"/>
      <c r="L132" s="8"/>
      <c r="M132" s="9"/>
      <c r="P132" s="10"/>
    </row>
    <row r="133" spans="8:16" x14ac:dyDescent="0.4">
      <c r="H133" s="1"/>
      <c r="L133" s="8"/>
      <c r="M133" s="9"/>
      <c r="P133" s="10"/>
    </row>
    <row r="134" spans="8:16" x14ac:dyDescent="0.4">
      <c r="H134" s="1"/>
      <c r="L134" s="8"/>
      <c r="M134" s="9"/>
      <c r="P134" s="10"/>
    </row>
    <row r="135" spans="8:16" x14ac:dyDescent="0.4">
      <c r="H135" s="1"/>
      <c r="L135" s="8"/>
      <c r="M135" s="9"/>
      <c r="P135" s="10"/>
    </row>
    <row r="136" spans="8:16" x14ac:dyDescent="0.4">
      <c r="H136" s="1"/>
      <c r="L136" s="8"/>
      <c r="M136" s="9"/>
      <c r="P136" s="10"/>
    </row>
    <row r="137" spans="8:16" x14ac:dyDescent="0.4">
      <c r="H137" s="1"/>
      <c r="L137" s="8"/>
      <c r="M137" s="9"/>
      <c r="P137" s="10"/>
    </row>
    <row r="138" spans="8:16" x14ac:dyDescent="0.4">
      <c r="H138" s="1"/>
      <c r="L138" s="8"/>
      <c r="M138" s="9"/>
      <c r="P138" s="10"/>
    </row>
    <row r="139" spans="8:16" x14ac:dyDescent="0.4">
      <c r="H139" s="1"/>
      <c r="L139" s="8"/>
      <c r="M139" s="9"/>
      <c r="P139" s="10"/>
    </row>
    <row r="140" spans="8:16" x14ac:dyDescent="0.4">
      <c r="H140" s="1"/>
      <c r="L140" s="8"/>
      <c r="M140" s="9"/>
      <c r="P140" s="10"/>
    </row>
    <row r="141" spans="8:16" x14ac:dyDescent="0.4">
      <c r="H141" s="1"/>
      <c r="L141" s="8"/>
      <c r="M141" s="9"/>
      <c r="P141" s="10"/>
    </row>
    <row r="142" spans="8:16" x14ac:dyDescent="0.4">
      <c r="H142" s="1"/>
      <c r="L142" s="8"/>
      <c r="M142" s="9"/>
      <c r="P142" s="10"/>
    </row>
    <row r="143" spans="8:16" x14ac:dyDescent="0.4">
      <c r="H143" s="1"/>
      <c r="L143" s="8"/>
      <c r="M143" s="9"/>
      <c r="P143" s="10"/>
    </row>
    <row r="144" spans="8:16" x14ac:dyDescent="0.4">
      <c r="H144" s="1"/>
      <c r="L144" s="8"/>
      <c r="M144" s="9"/>
      <c r="P144" s="10"/>
    </row>
    <row r="145" spans="8:16" x14ac:dyDescent="0.4">
      <c r="H145" s="1"/>
      <c r="L145" s="8"/>
      <c r="M145" s="9"/>
      <c r="P145" s="10"/>
    </row>
    <row r="146" spans="8:16" x14ac:dyDescent="0.4">
      <c r="H146" s="1"/>
      <c r="L146" s="8"/>
      <c r="M146" s="9"/>
      <c r="P146" s="10"/>
    </row>
    <row r="147" spans="8:16" x14ac:dyDescent="0.4">
      <c r="H147" s="1"/>
      <c r="L147" s="8"/>
      <c r="M147" s="9"/>
      <c r="P147" s="10"/>
    </row>
    <row r="148" spans="8:16" x14ac:dyDescent="0.4">
      <c r="H148" s="1"/>
      <c r="L148" s="8"/>
      <c r="M148" s="9"/>
      <c r="P148" s="10"/>
    </row>
    <row r="149" spans="8:16" x14ac:dyDescent="0.4">
      <c r="H149" s="1"/>
      <c r="L149" s="8"/>
      <c r="M149" s="9"/>
      <c r="P149" s="10"/>
    </row>
    <row r="150" spans="8:16" x14ac:dyDescent="0.4">
      <c r="H150" s="1"/>
      <c r="L150" s="8"/>
      <c r="M150" s="9"/>
      <c r="P150" s="10"/>
    </row>
    <row r="151" spans="8:16" x14ac:dyDescent="0.4">
      <c r="H151" s="1"/>
      <c r="L151" s="8"/>
      <c r="M151" s="9"/>
      <c r="P151" s="10"/>
    </row>
    <row r="152" spans="8:16" x14ac:dyDescent="0.4">
      <c r="H152" s="1"/>
      <c r="L152" s="8"/>
      <c r="M152" s="9"/>
      <c r="P152" s="10"/>
    </row>
    <row r="153" spans="8:16" x14ac:dyDescent="0.4">
      <c r="H153" s="1"/>
      <c r="L153" s="8"/>
      <c r="M153" s="9"/>
      <c r="P153" s="10"/>
    </row>
    <row r="154" spans="8:16" x14ac:dyDescent="0.4">
      <c r="H154" s="1"/>
      <c r="L154" s="8"/>
      <c r="M154" s="9"/>
      <c r="P154" s="10"/>
    </row>
    <row r="155" spans="8:16" x14ac:dyDescent="0.4">
      <c r="H155" s="1"/>
      <c r="L155" s="8"/>
      <c r="M155" s="9"/>
      <c r="P155" s="10"/>
    </row>
    <row r="156" spans="8:16" x14ac:dyDescent="0.4">
      <c r="H156" s="1"/>
      <c r="L156" s="8"/>
      <c r="M156" s="9"/>
      <c r="P156" s="10"/>
    </row>
    <row r="157" spans="8:16" x14ac:dyDescent="0.4">
      <c r="H157" s="1"/>
      <c r="L157" s="8"/>
      <c r="M157" s="9"/>
      <c r="P157" s="10"/>
    </row>
    <row r="158" spans="8:16" x14ac:dyDescent="0.4">
      <c r="H158" s="1"/>
      <c r="L158" s="8"/>
      <c r="M158" s="9"/>
      <c r="P158" s="10"/>
    </row>
    <row r="159" spans="8:16" x14ac:dyDescent="0.4">
      <c r="H159" s="1"/>
      <c r="L159" s="8"/>
      <c r="M159" s="9"/>
      <c r="P159" s="10"/>
    </row>
    <row r="160" spans="8:16" x14ac:dyDescent="0.4">
      <c r="H160" s="1"/>
      <c r="L160" s="8"/>
      <c r="M160" s="9"/>
      <c r="P160" s="10"/>
    </row>
    <row r="161" spans="8:16" x14ac:dyDescent="0.4">
      <c r="H161" s="1"/>
      <c r="L161" s="8"/>
      <c r="M161" s="9"/>
      <c r="P161" s="10"/>
    </row>
    <row r="162" spans="8:16" x14ac:dyDescent="0.4">
      <c r="H162" s="1"/>
      <c r="L162" s="8"/>
      <c r="M162" s="9"/>
      <c r="P162" s="10"/>
    </row>
    <row r="163" spans="8:16" x14ac:dyDescent="0.4">
      <c r="H163" s="1"/>
      <c r="L163" s="8"/>
      <c r="M163" s="9"/>
      <c r="P163" s="10"/>
    </row>
    <row r="164" spans="8:16" x14ac:dyDescent="0.4">
      <c r="H164" s="1"/>
      <c r="L164" s="8"/>
      <c r="M164" s="9"/>
      <c r="P164" s="10"/>
    </row>
    <row r="165" spans="8:16" x14ac:dyDescent="0.4">
      <c r="H165" s="1"/>
      <c r="L165" s="8"/>
      <c r="M165" s="9"/>
      <c r="P165" s="10"/>
    </row>
    <row r="166" spans="8:16" x14ac:dyDescent="0.4">
      <c r="H166" s="1"/>
      <c r="L166" s="8"/>
      <c r="M166" s="9"/>
      <c r="P166" s="10"/>
    </row>
    <row r="167" spans="8:16" x14ac:dyDescent="0.4">
      <c r="H167" s="1"/>
      <c r="L167" s="8"/>
      <c r="M167" s="9"/>
      <c r="P167" s="10"/>
    </row>
    <row r="168" spans="8:16" x14ac:dyDescent="0.4">
      <c r="H168" s="1"/>
      <c r="L168" s="8"/>
      <c r="M168" s="9"/>
      <c r="P168" s="10"/>
    </row>
    <row r="169" spans="8:16" x14ac:dyDescent="0.4">
      <c r="H169" s="1"/>
      <c r="L169" s="8"/>
      <c r="M169" s="9"/>
      <c r="P169" s="10"/>
    </row>
    <row r="170" spans="8:16" x14ac:dyDescent="0.4">
      <c r="H170" s="1"/>
      <c r="L170" s="8"/>
      <c r="M170" s="9"/>
      <c r="P170" s="10"/>
    </row>
    <row r="171" spans="8:16" x14ac:dyDescent="0.4">
      <c r="H171" s="1"/>
      <c r="L171" s="8"/>
      <c r="M171" s="9"/>
      <c r="P171" s="10"/>
    </row>
    <row r="172" spans="8:16" x14ac:dyDescent="0.4">
      <c r="H172" s="1"/>
      <c r="L172" s="8"/>
      <c r="M172" s="9"/>
      <c r="P172" s="10"/>
    </row>
    <row r="173" spans="8:16" x14ac:dyDescent="0.4">
      <c r="H173" s="1"/>
      <c r="L173" s="8"/>
      <c r="M173" s="9"/>
      <c r="P173" s="10"/>
    </row>
    <row r="174" spans="8:16" x14ac:dyDescent="0.4">
      <c r="H174" s="1"/>
      <c r="L174" s="8"/>
      <c r="M174" s="9"/>
      <c r="P174" s="10"/>
    </row>
    <row r="175" spans="8:16" x14ac:dyDescent="0.4">
      <c r="H175" s="1"/>
      <c r="L175" s="8"/>
      <c r="M175" s="9"/>
      <c r="P175" s="10"/>
    </row>
    <row r="176" spans="8:16" x14ac:dyDescent="0.4">
      <c r="H176" s="1"/>
      <c r="L176" s="8"/>
      <c r="M176" s="9"/>
      <c r="P176" s="10"/>
    </row>
    <row r="177" spans="8:16" x14ac:dyDescent="0.4">
      <c r="H177" s="1"/>
      <c r="L177" s="8"/>
      <c r="M177" s="9"/>
      <c r="P177" s="10"/>
    </row>
    <row r="178" spans="8:16" x14ac:dyDescent="0.4">
      <c r="H178" s="1"/>
      <c r="L178" s="8"/>
      <c r="M178" s="9"/>
      <c r="P178" s="10"/>
    </row>
    <row r="179" spans="8:16" x14ac:dyDescent="0.4">
      <c r="H179" s="1"/>
      <c r="L179" s="8"/>
      <c r="M179" s="9"/>
      <c r="P179" s="10"/>
    </row>
    <row r="180" spans="8:16" x14ac:dyDescent="0.4">
      <c r="H180" s="1"/>
      <c r="L180" s="8"/>
      <c r="M180" s="9"/>
      <c r="P180" s="10"/>
    </row>
    <row r="181" spans="8:16" x14ac:dyDescent="0.4">
      <c r="H181" s="1"/>
      <c r="L181" s="8"/>
      <c r="M181" s="9"/>
      <c r="P181" s="10"/>
    </row>
    <row r="182" spans="8:16" x14ac:dyDescent="0.4">
      <c r="H182" s="1"/>
      <c r="L182" s="8"/>
      <c r="M182" s="9"/>
      <c r="P182" s="10"/>
    </row>
    <row r="183" spans="8:16" x14ac:dyDescent="0.4">
      <c r="H183" s="1"/>
      <c r="L183" s="8"/>
      <c r="M183" s="9"/>
      <c r="P183" s="10"/>
    </row>
    <row r="184" spans="8:16" x14ac:dyDescent="0.4">
      <c r="H184" s="1"/>
      <c r="L184" s="8"/>
      <c r="M184" s="9"/>
      <c r="P184" s="10"/>
    </row>
    <row r="185" spans="8:16" x14ac:dyDescent="0.4">
      <c r="H185" s="1"/>
      <c r="L185" s="8"/>
      <c r="M185" s="9"/>
      <c r="P185" s="10"/>
    </row>
    <row r="186" spans="8:16" x14ac:dyDescent="0.4">
      <c r="H186" s="1"/>
      <c r="L186" s="8"/>
      <c r="M186" s="9"/>
      <c r="P186" s="10"/>
    </row>
    <row r="187" spans="8:16" x14ac:dyDescent="0.4">
      <c r="H187" s="1"/>
      <c r="L187" s="8"/>
      <c r="M187" s="9"/>
      <c r="P187" s="10"/>
    </row>
    <row r="188" spans="8:16" x14ac:dyDescent="0.4">
      <c r="H188" s="1"/>
      <c r="L188" s="8"/>
      <c r="M188" s="9"/>
      <c r="P188" s="10"/>
    </row>
    <row r="189" spans="8:16" x14ac:dyDescent="0.4">
      <c r="H189" s="1"/>
      <c r="L189" s="8"/>
      <c r="M189" s="9"/>
      <c r="P189" s="10"/>
    </row>
    <row r="190" spans="8:16" x14ac:dyDescent="0.4">
      <c r="H190" s="1"/>
      <c r="L190" s="8"/>
      <c r="M190" s="9"/>
      <c r="P190" s="10"/>
    </row>
    <row r="191" spans="8:16" x14ac:dyDescent="0.4">
      <c r="H191" s="1"/>
      <c r="L191" s="8"/>
      <c r="M191" s="9"/>
      <c r="P191" s="10"/>
    </row>
    <row r="192" spans="8:16" x14ac:dyDescent="0.4">
      <c r="H192" s="1"/>
      <c r="L192" s="8"/>
      <c r="M192" s="9"/>
      <c r="P192" s="10"/>
    </row>
    <row r="193" spans="8:16" x14ac:dyDescent="0.4">
      <c r="H193" s="1"/>
      <c r="L193" s="8"/>
      <c r="M193" s="9"/>
      <c r="P193" s="10"/>
    </row>
    <row r="194" spans="8:16" x14ac:dyDescent="0.4">
      <c r="H194" s="1"/>
      <c r="L194" s="8"/>
      <c r="M194" s="9"/>
      <c r="P194" s="10"/>
    </row>
    <row r="195" spans="8:16" x14ac:dyDescent="0.4">
      <c r="H195" s="1"/>
      <c r="L195" s="8"/>
      <c r="M195" s="9"/>
      <c r="P195" s="10"/>
    </row>
    <row r="196" spans="8:16" x14ac:dyDescent="0.4">
      <c r="H196" s="1"/>
      <c r="L196" s="8"/>
      <c r="M196" s="9"/>
      <c r="P196" s="10"/>
    </row>
    <row r="197" spans="8:16" x14ac:dyDescent="0.4">
      <c r="H197" s="1"/>
      <c r="L197" s="8"/>
      <c r="M197" s="9"/>
      <c r="P197" s="10"/>
    </row>
    <row r="198" spans="8:16" x14ac:dyDescent="0.4">
      <c r="H198" s="1"/>
      <c r="L198" s="8"/>
      <c r="M198" s="9"/>
      <c r="P198" s="10"/>
    </row>
    <row r="199" spans="8:16" x14ac:dyDescent="0.4">
      <c r="H199" s="1"/>
      <c r="L199" s="8"/>
      <c r="M199" s="9"/>
      <c r="P199" s="10"/>
    </row>
    <row r="200" spans="8:16" x14ac:dyDescent="0.4">
      <c r="H200" s="1"/>
      <c r="L200" s="8"/>
      <c r="M200" s="9"/>
      <c r="P200" s="10"/>
    </row>
    <row r="201" spans="8:16" x14ac:dyDescent="0.4">
      <c r="H201" s="1"/>
      <c r="L201" s="8"/>
      <c r="M201" s="9"/>
      <c r="P201" s="10"/>
    </row>
    <row r="202" spans="8:16" x14ac:dyDescent="0.4">
      <c r="H202" s="1"/>
      <c r="L202" s="8"/>
      <c r="M202" s="9"/>
      <c r="P202" s="10"/>
    </row>
    <row r="203" spans="8:16" x14ac:dyDescent="0.4">
      <c r="H203" s="1"/>
      <c r="L203" s="8"/>
      <c r="M203" s="9"/>
      <c r="P203" s="10"/>
    </row>
    <row r="204" spans="8:16" x14ac:dyDescent="0.4">
      <c r="H204" s="1"/>
      <c r="L204" s="8"/>
      <c r="M204" s="9"/>
      <c r="P204" s="10"/>
    </row>
    <row r="205" spans="8:16" x14ac:dyDescent="0.4">
      <c r="H205" s="1"/>
      <c r="L205" s="8"/>
      <c r="M205" s="9"/>
      <c r="P205" s="10"/>
    </row>
    <row r="206" spans="8:16" x14ac:dyDescent="0.4">
      <c r="H206" s="1"/>
      <c r="L206" s="8"/>
      <c r="M206" s="9"/>
      <c r="P206" s="10"/>
    </row>
    <row r="207" spans="8:16" x14ac:dyDescent="0.4">
      <c r="H207" s="1"/>
      <c r="L207" s="8"/>
      <c r="M207" s="9"/>
      <c r="P207" s="10"/>
    </row>
    <row r="208" spans="8:16" x14ac:dyDescent="0.4">
      <c r="H208" s="1"/>
      <c r="L208" s="8"/>
      <c r="M208" s="9"/>
      <c r="P208" s="10"/>
    </row>
    <row r="209" spans="8:16" x14ac:dyDescent="0.4">
      <c r="H209" s="1"/>
      <c r="L209" s="8"/>
      <c r="M209" s="9"/>
      <c r="P209" s="10"/>
    </row>
    <row r="210" spans="8:16" x14ac:dyDescent="0.4">
      <c r="H210" s="1"/>
      <c r="L210" s="8"/>
      <c r="M210" s="9"/>
      <c r="P210" s="10"/>
    </row>
    <row r="211" spans="8:16" x14ac:dyDescent="0.4">
      <c r="H211" s="1"/>
      <c r="L211" s="8"/>
      <c r="M211" s="9"/>
      <c r="P211" s="10"/>
    </row>
    <row r="212" spans="8:16" x14ac:dyDescent="0.4">
      <c r="H212" s="1"/>
      <c r="L212" s="8"/>
      <c r="M212" s="9"/>
      <c r="P212" s="10"/>
    </row>
    <row r="213" spans="8:16" x14ac:dyDescent="0.4">
      <c r="H213" s="1"/>
      <c r="L213" s="8"/>
      <c r="M213" s="9"/>
      <c r="P213" s="10"/>
    </row>
    <row r="214" spans="8:16" x14ac:dyDescent="0.4">
      <c r="H214" s="1"/>
      <c r="L214" s="8"/>
      <c r="M214" s="9"/>
      <c r="P214" s="10"/>
    </row>
    <row r="215" spans="8:16" x14ac:dyDescent="0.4">
      <c r="H215" s="1"/>
      <c r="L215" s="8"/>
      <c r="M215" s="9"/>
      <c r="P215" s="10"/>
    </row>
    <row r="216" spans="8:16" x14ac:dyDescent="0.4">
      <c r="H216" s="1"/>
      <c r="L216" s="8"/>
      <c r="M216" s="9"/>
      <c r="P216" s="10"/>
    </row>
    <row r="217" spans="8:16" x14ac:dyDescent="0.4">
      <c r="H217" s="1"/>
      <c r="L217" s="8"/>
      <c r="M217" s="9"/>
      <c r="P217" s="10"/>
    </row>
    <row r="218" spans="8:16" x14ac:dyDescent="0.4">
      <c r="H218" s="1"/>
      <c r="L218" s="8"/>
      <c r="M218" s="9"/>
      <c r="P218" s="10"/>
    </row>
    <row r="219" spans="8:16" x14ac:dyDescent="0.4">
      <c r="H219" s="1"/>
      <c r="L219" s="8"/>
      <c r="M219" s="9"/>
      <c r="P219" s="10"/>
    </row>
    <row r="220" spans="8:16" x14ac:dyDescent="0.4">
      <c r="H220" s="1"/>
      <c r="L220" s="8"/>
      <c r="M220" s="9"/>
      <c r="P220" s="10"/>
    </row>
    <row r="221" spans="8:16" x14ac:dyDescent="0.4">
      <c r="H221" s="1"/>
      <c r="L221" s="8"/>
      <c r="M221" s="9"/>
      <c r="P221" s="10"/>
    </row>
    <row r="222" spans="8:16" x14ac:dyDescent="0.4">
      <c r="H222" s="1"/>
      <c r="L222" s="8"/>
      <c r="M222" s="9"/>
      <c r="P222" s="10"/>
    </row>
    <row r="223" spans="8:16" x14ac:dyDescent="0.4">
      <c r="H223" s="1"/>
      <c r="L223" s="8"/>
      <c r="M223" s="9"/>
      <c r="P223" s="10"/>
    </row>
    <row r="224" spans="8:16" x14ac:dyDescent="0.4">
      <c r="H224" s="1"/>
      <c r="L224" s="8"/>
      <c r="M224" s="9"/>
      <c r="P224" s="10"/>
    </row>
    <row r="225" spans="8:16" x14ac:dyDescent="0.4">
      <c r="H225" s="1"/>
      <c r="L225" s="8"/>
      <c r="M225" s="9"/>
      <c r="P225" s="10"/>
    </row>
    <row r="226" spans="8:16" x14ac:dyDescent="0.4">
      <c r="H226" s="1"/>
      <c r="L226" s="8"/>
      <c r="M226" s="9"/>
      <c r="P226" s="10"/>
    </row>
    <row r="227" spans="8:16" x14ac:dyDescent="0.4">
      <c r="H227" s="1"/>
      <c r="L227" s="8"/>
      <c r="M227" s="9"/>
      <c r="P227" s="10"/>
    </row>
    <row r="228" spans="8:16" x14ac:dyDescent="0.4">
      <c r="H228" s="1"/>
      <c r="L228" s="8"/>
      <c r="M228" s="9"/>
      <c r="P228" s="10"/>
    </row>
    <row r="229" spans="8:16" x14ac:dyDescent="0.4">
      <c r="H229" s="1"/>
      <c r="L229" s="8"/>
      <c r="M229" s="9"/>
      <c r="P229" s="10"/>
    </row>
    <row r="230" spans="8:16" x14ac:dyDescent="0.4">
      <c r="H230" s="1"/>
      <c r="L230" s="8"/>
      <c r="M230" s="9"/>
      <c r="P230" s="10"/>
    </row>
    <row r="231" spans="8:16" x14ac:dyDescent="0.4">
      <c r="H231" s="1"/>
      <c r="L231" s="8"/>
      <c r="M231" s="9"/>
      <c r="P231" s="10"/>
    </row>
    <row r="232" spans="8:16" x14ac:dyDescent="0.4">
      <c r="H232" s="1"/>
      <c r="L232" s="8"/>
      <c r="M232" s="9"/>
      <c r="P232" s="10"/>
    </row>
    <row r="233" spans="8:16" x14ac:dyDescent="0.4">
      <c r="H233" s="1"/>
      <c r="L233" s="8"/>
      <c r="M233" s="9"/>
      <c r="P233" s="10"/>
    </row>
    <row r="234" spans="8:16" x14ac:dyDescent="0.4">
      <c r="H234" s="1"/>
      <c r="L234" s="8"/>
      <c r="M234" s="9"/>
      <c r="P234" s="10"/>
    </row>
    <row r="235" spans="8:16" x14ac:dyDescent="0.4">
      <c r="H235" s="1"/>
      <c r="L235" s="8"/>
      <c r="M235" s="9"/>
      <c r="P235" s="10"/>
    </row>
    <row r="236" spans="8:16" x14ac:dyDescent="0.4">
      <c r="H236" s="1"/>
      <c r="L236" s="8"/>
      <c r="M236" s="9"/>
      <c r="P236" s="10"/>
    </row>
    <row r="237" spans="8:16" x14ac:dyDescent="0.4">
      <c r="H237" s="1"/>
      <c r="L237" s="8"/>
      <c r="M237" s="9"/>
      <c r="P237" s="10"/>
    </row>
    <row r="238" spans="8:16" x14ac:dyDescent="0.4">
      <c r="H238" s="1"/>
      <c r="L238" s="8"/>
      <c r="M238" s="9"/>
      <c r="P238" s="10"/>
    </row>
    <row r="239" spans="8:16" x14ac:dyDescent="0.4">
      <c r="H239" s="1"/>
      <c r="L239" s="8"/>
      <c r="M239" s="9"/>
      <c r="P239" s="10"/>
    </row>
    <row r="240" spans="8:16" x14ac:dyDescent="0.4">
      <c r="H240" s="1"/>
      <c r="L240" s="8"/>
      <c r="M240" s="9"/>
      <c r="P240" s="10"/>
    </row>
    <row r="241" spans="8:16" x14ac:dyDescent="0.4">
      <c r="H241" s="1"/>
      <c r="L241" s="8"/>
      <c r="M241" s="9"/>
      <c r="P241" s="10"/>
    </row>
    <row r="242" spans="8:16" x14ac:dyDescent="0.4">
      <c r="H242" s="1"/>
      <c r="L242" s="8"/>
      <c r="M242" s="9"/>
      <c r="P242" s="10"/>
    </row>
    <row r="243" spans="8:16" x14ac:dyDescent="0.4">
      <c r="H243" s="1"/>
      <c r="L243" s="8"/>
      <c r="M243" s="9"/>
      <c r="P243" s="10"/>
    </row>
    <row r="244" spans="8:16" x14ac:dyDescent="0.4">
      <c r="H244" s="1"/>
      <c r="L244" s="8"/>
      <c r="M244" s="9"/>
      <c r="P244" s="10"/>
    </row>
    <row r="245" spans="8:16" x14ac:dyDescent="0.4">
      <c r="H245" s="1"/>
      <c r="L245" s="8"/>
      <c r="M245" s="9"/>
      <c r="P245" s="10"/>
    </row>
    <row r="246" spans="8:16" x14ac:dyDescent="0.4">
      <c r="H246" s="1"/>
      <c r="L246" s="8"/>
      <c r="M246" s="9"/>
      <c r="P246" s="10"/>
    </row>
    <row r="247" spans="8:16" x14ac:dyDescent="0.4">
      <c r="H247" s="1"/>
      <c r="L247" s="8"/>
      <c r="M247" s="9"/>
      <c r="P247" s="10"/>
    </row>
    <row r="248" spans="8:16" x14ac:dyDescent="0.4">
      <c r="H248" s="1"/>
      <c r="L248" s="8"/>
      <c r="M248" s="9"/>
      <c r="P248" s="10"/>
    </row>
    <row r="249" spans="8:16" x14ac:dyDescent="0.4">
      <c r="H249" s="1"/>
      <c r="L249" s="8"/>
      <c r="M249" s="9"/>
      <c r="P249" s="10"/>
    </row>
    <row r="250" spans="8:16" x14ac:dyDescent="0.4">
      <c r="H250" s="1"/>
      <c r="L250" s="8"/>
      <c r="M250" s="9"/>
      <c r="P250" s="10"/>
    </row>
    <row r="251" spans="8:16" x14ac:dyDescent="0.4">
      <c r="H251" s="1"/>
      <c r="L251" s="8"/>
      <c r="M251" s="9"/>
      <c r="P251" s="10"/>
    </row>
    <row r="252" spans="8:16" x14ac:dyDescent="0.4">
      <c r="H252" s="1"/>
      <c r="L252" s="8"/>
      <c r="M252" s="9"/>
      <c r="P252" s="10"/>
    </row>
    <row r="253" spans="8:16" x14ac:dyDescent="0.4">
      <c r="H253" s="1"/>
      <c r="L253" s="8"/>
      <c r="M253" s="9"/>
      <c r="P253" s="10"/>
    </row>
    <row r="254" spans="8:16" x14ac:dyDescent="0.4">
      <c r="H254" s="1"/>
      <c r="L254" s="8"/>
      <c r="M254" s="9"/>
      <c r="P254" s="10"/>
    </row>
    <row r="255" spans="8:16" x14ac:dyDescent="0.4">
      <c r="H255" s="1"/>
      <c r="L255" s="8"/>
      <c r="M255" s="9"/>
      <c r="P255" s="10"/>
    </row>
    <row r="256" spans="8:16" x14ac:dyDescent="0.4">
      <c r="H256" s="1"/>
      <c r="L256" s="8"/>
      <c r="M256" s="9"/>
      <c r="P256" s="10"/>
    </row>
    <row r="257" spans="8:16" x14ac:dyDescent="0.4">
      <c r="H257" s="1"/>
      <c r="L257" s="8"/>
      <c r="M257" s="9"/>
      <c r="P257" s="10"/>
    </row>
    <row r="258" spans="8:16" x14ac:dyDescent="0.4">
      <c r="H258" s="1"/>
      <c r="L258" s="8"/>
      <c r="M258" s="9"/>
      <c r="P258" s="10"/>
    </row>
    <row r="259" spans="8:16" x14ac:dyDescent="0.4">
      <c r="H259" s="1"/>
      <c r="L259" s="8"/>
      <c r="M259" s="9"/>
      <c r="P259" s="10"/>
    </row>
    <row r="260" spans="8:16" x14ac:dyDescent="0.4">
      <c r="H260" s="1"/>
      <c r="L260" s="8"/>
      <c r="M260" s="9"/>
      <c r="P260" s="10"/>
    </row>
    <row r="261" spans="8:16" x14ac:dyDescent="0.4">
      <c r="H261" s="1"/>
      <c r="L261" s="8"/>
      <c r="M261" s="9"/>
      <c r="P261" s="10"/>
    </row>
    <row r="262" spans="8:16" x14ac:dyDescent="0.4">
      <c r="H262" s="1"/>
      <c r="L262" s="8"/>
      <c r="M262" s="9"/>
      <c r="P262" s="10"/>
    </row>
    <row r="263" spans="8:16" x14ac:dyDescent="0.4">
      <c r="H263" s="1"/>
      <c r="L263" s="8"/>
      <c r="M263" s="9"/>
      <c r="P263" s="10"/>
    </row>
    <row r="264" spans="8:16" ht="13.5" customHeight="1" x14ac:dyDescent="0.4">
      <c r="H264" s="1"/>
      <c r="L264" s="8"/>
      <c r="M264" s="9"/>
      <c r="P264" s="10"/>
    </row>
    <row r="265" spans="8:16" x14ac:dyDescent="0.4">
      <c r="H265" s="1"/>
      <c r="L265" s="8"/>
      <c r="M265" s="9"/>
      <c r="P265" s="10"/>
    </row>
    <row r="266" spans="8:16" x14ac:dyDescent="0.4">
      <c r="H266" s="1"/>
      <c r="L266" s="8"/>
      <c r="M266" s="9"/>
      <c r="P266" s="10"/>
    </row>
    <row r="267" spans="8:16" x14ac:dyDescent="0.4">
      <c r="H267" s="1"/>
      <c r="L267" s="8"/>
      <c r="M267" s="9"/>
      <c r="P267" s="10"/>
    </row>
    <row r="268" spans="8:16" x14ac:dyDescent="0.4">
      <c r="H268" s="1"/>
      <c r="L268" s="8"/>
      <c r="M268" s="9"/>
      <c r="P268" s="10"/>
    </row>
    <row r="269" spans="8:16" x14ac:dyDescent="0.4">
      <c r="H269" s="1"/>
      <c r="L269" s="8"/>
      <c r="M269" s="9"/>
      <c r="P269" s="10"/>
    </row>
    <row r="270" spans="8:16" x14ac:dyDescent="0.4">
      <c r="H270" s="1"/>
      <c r="L270" s="8"/>
      <c r="M270" s="9"/>
      <c r="P270" s="10"/>
    </row>
    <row r="271" spans="8:16" x14ac:dyDescent="0.4">
      <c r="H271" s="1"/>
      <c r="L271" s="8"/>
      <c r="M271" s="9"/>
      <c r="P271" s="10"/>
    </row>
    <row r="272" spans="8:16" x14ac:dyDescent="0.4">
      <c r="H272" s="1"/>
      <c r="L272" s="8"/>
      <c r="M272" s="9"/>
      <c r="P272" s="10"/>
    </row>
    <row r="273" spans="8:16" x14ac:dyDescent="0.4">
      <c r="H273" s="1"/>
      <c r="L273" s="8"/>
      <c r="M273" s="9"/>
      <c r="P273" s="10"/>
    </row>
    <row r="274" spans="8:16" x14ac:dyDescent="0.4">
      <c r="H274" s="1"/>
      <c r="L274" s="8"/>
      <c r="M274" s="9"/>
      <c r="P274" s="10"/>
    </row>
    <row r="275" spans="8:16" x14ac:dyDescent="0.4">
      <c r="H275" s="1"/>
      <c r="L275" s="8"/>
      <c r="M275" s="9"/>
      <c r="P275" s="10"/>
    </row>
    <row r="276" spans="8:16" x14ac:dyDescent="0.4">
      <c r="H276" s="1"/>
      <c r="L276" s="8"/>
      <c r="M276" s="9"/>
      <c r="P276" s="10"/>
    </row>
    <row r="277" spans="8:16" x14ac:dyDescent="0.4">
      <c r="H277" s="1"/>
      <c r="L277" s="8"/>
      <c r="M277" s="9"/>
      <c r="P277" s="10"/>
    </row>
    <row r="278" spans="8:16" x14ac:dyDescent="0.4">
      <c r="H278" s="1"/>
      <c r="L278" s="8"/>
      <c r="M278" s="9"/>
      <c r="P278" s="10"/>
    </row>
    <row r="279" spans="8:16" x14ac:dyDescent="0.4">
      <c r="H279" s="1"/>
      <c r="L279" s="8"/>
      <c r="M279" s="9"/>
      <c r="P279" s="10"/>
    </row>
    <row r="280" spans="8:16" x14ac:dyDescent="0.4">
      <c r="H280" s="1"/>
      <c r="L280" s="8"/>
      <c r="M280" s="9"/>
      <c r="P280" s="10"/>
    </row>
    <row r="281" spans="8:16" x14ac:dyDescent="0.4">
      <c r="H281" s="1"/>
      <c r="L281" s="8"/>
      <c r="M281" s="9"/>
      <c r="P281" s="10"/>
    </row>
    <row r="282" spans="8:16" x14ac:dyDescent="0.4">
      <c r="H282" s="1"/>
      <c r="L282" s="8"/>
      <c r="M282" s="9"/>
      <c r="P282" s="10"/>
    </row>
    <row r="283" spans="8:16" x14ac:dyDescent="0.4">
      <c r="H283" s="1"/>
      <c r="L283" s="8"/>
      <c r="M283" s="9"/>
      <c r="P283" s="10"/>
    </row>
    <row r="284" spans="8:16" x14ac:dyDescent="0.4">
      <c r="H284" s="1"/>
      <c r="L284" s="8"/>
      <c r="M284" s="9"/>
      <c r="P284" s="10"/>
    </row>
    <row r="285" spans="8:16" x14ac:dyDescent="0.4">
      <c r="H285" s="1"/>
      <c r="L285" s="8"/>
      <c r="M285" s="9"/>
      <c r="P285" s="10"/>
    </row>
    <row r="286" spans="8:16" x14ac:dyDescent="0.4">
      <c r="H286" s="1"/>
      <c r="L286" s="8"/>
      <c r="M286" s="9"/>
      <c r="P286" s="10"/>
    </row>
    <row r="287" spans="8:16" x14ac:dyDescent="0.4">
      <c r="H287" s="1"/>
      <c r="L287" s="8"/>
      <c r="M287" s="9"/>
      <c r="P287" s="10"/>
    </row>
    <row r="288" spans="8:16" x14ac:dyDescent="0.4">
      <c r="H288" s="1"/>
      <c r="L288" s="8"/>
      <c r="M288" s="9"/>
      <c r="P288" s="10"/>
    </row>
    <row r="289" spans="8:16" x14ac:dyDescent="0.4">
      <c r="H289" s="1"/>
      <c r="L289" s="8"/>
      <c r="M289" s="9"/>
      <c r="P289" s="10"/>
    </row>
    <row r="290" spans="8:16" x14ac:dyDescent="0.4">
      <c r="H290" s="1"/>
      <c r="L290" s="8"/>
      <c r="M290" s="9"/>
      <c r="P290" s="10"/>
    </row>
    <row r="291" spans="8:16" x14ac:dyDescent="0.4">
      <c r="H291" s="1"/>
      <c r="L291" s="8"/>
      <c r="M291" s="9"/>
      <c r="P291" s="10"/>
    </row>
    <row r="292" spans="8:16" x14ac:dyDescent="0.4">
      <c r="H292" s="1"/>
      <c r="L292" s="8"/>
      <c r="M292" s="9"/>
      <c r="P292" s="10"/>
    </row>
    <row r="293" spans="8:16" x14ac:dyDescent="0.4">
      <c r="H293" s="1"/>
      <c r="L293" s="8"/>
      <c r="M293" s="9"/>
      <c r="P293" s="10"/>
    </row>
    <row r="294" spans="8:16" x14ac:dyDescent="0.4">
      <c r="H294" s="1"/>
      <c r="L294" s="8"/>
      <c r="M294" s="9"/>
      <c r="P294" s="10"/>
    </row>
    <row r="295" spans="8:16" x14ac:dyDescent="0.4">
      <c r="H295" s="1"/>
      <c r="L295" s="8"/>
      <c r="M295" s="9"/>
      <c r="P295" s="10"/>
    </row>
    <row r="296" spans="8:16" x14ac:dyDescent="0.4">
      <c r="H296" s="1"/>
      <c r="L296" s="8"/>
      <c r="M296" s="9"/>
      <c r="P296" s="10"/>
    </row>
    <row r="297" spans="8:16" x14ac:dyDescent="0.4">
      <c r="H297" s="1"/>
      <c r="L297" s="8"/>
      <c r="M297" s="9"/>
      <c r="P297" s="10"/>
    </row>
    <row r="298" spans="8:16" x14ac:dyDescent="0.4">
      <c r="H298" s="1"/>
      <c r="L298" s="8"/>
      <c r="M298" s="9"/>
      <c r="P298" s="10"/>
    </row>
    <row r="299" spans="8:16" x14ac:dyDescent="0.4">
      <c r="H299" s="1"/>
      <c r="L299" s="8"/>
      <c r="M299" s="9"/>
      <c r="P299" s="10"/>
    </row>
    <row r="300" spans="8:16" x14ac:dyDescent="0.4">
      <c r="H300" s="1"/>
      <c r="L300" s="8"/>
      <c r="M300" s="9"/>
      <c r="P300" s="10"/>
    </row>
    <row r="301" spans="8:16" x14ac:dyDescent="0.4">
      <c r="H301" s="1"/>
      <c r="L301" s="8"/>
      <c r="M301" s="9"/>
      <c r="P301" s="10"/>
    </row>
    <row r="302" spans="8:16" x14ac:dyDescent="0.4">
      <c r="H302" s="1"/>
      <c r="L302" s="8"/>
      <c r="M302" s="9"/>
      <c r="P302" s="10"/>
    </row>
    <row r="303" spans="8:16" x14ac:dyDescent="0.4">
      <c r="H303" s="1"/>
      <c r="L303" s="8"/>
      <c r="M303" s="9"/>
      <c r="P303" s="10"/>
    </row>
    <row r="304" spans="8:16" x14ac:dyDescent="0.4">
      <c r="H304" s="1"/>
      <c r="L304" s="8"/>
      <c r="M304" s="9"/>
      <c r="P304" s="10"/>
    </row>
    <row r="305" spans="8:16" x14ac:dyDescent="0.4">
      <c r="H305" s="1"/>
      <c r="L305" s="8"/>
      <c r="M305" s="9"/>
      <c r="P305" s="10"/>
    </row>
  </sheetData>
  <sheetProtection selectLockedCells="1" selectUnlockedCells="1"/>
  <phoneticPr fontId="5" type="noConversion"/>
  <pageMargins left="0.75" right="0.75" top="1" bottom="1" header="0.51181102362204722" footer="0.51181102362204722"/>
  <pageSetup paperSize="9" orientation="portrait" horizontalDpi="300" verticalDpi="30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3CB7-91F7-4EF2-8385-A30E4E0A97ED}">
  <dimension ref="A1:I68"/>
  <sheetViews>
    <sheetView topLeftCell="A25" workbookViewId="0">
      <selection activeCell="A43" sqref="A43"/>
    </sheetView>
  </sheetViews>
  <sheetFormatPr defaultRowHeight="15.75" x14ac:dyDescent="0.4"/>
  <cols>
    <col min="1" max="1" width="132.0625" customWidth="1"/>
    <col min="2" max="2" width="8.8125" bestFit="1" customWidth="1"/>
    <col min="3" max="3" width="8.8125" customWidth="1"/>
    <col min="4" max="4" width="22" bestFit="1" customWidth="1"/>
    <col min="5" max="5" width="11.25" style="1" bestFit="1" customWidth="1"/>
    <col min="6" max="6" width="8.8125" bestFit="1" customWidth="1"/>
    <col min="7" max="7" width="9.9375" bestFit="1" customWidth="1"/>
    <col min="8" max="8" width="11" style="16" bestFit="1" customWidth="1"/>
    <col min="9" max="9" width="116.4375" style="16" bestFit="1" customWidth="1"/>
  </cols>
  <sheetData>
    <row r="1" spans="1:9" x14ac:dyDescent="0.4">
      <c r="A1" s="17" t="s">
        <v>122</v>
      </c>
      <c r="B1" s="17" t="s">
        <v>5</v>
      </c>
      <c r="C1" s="17" t="s">
        <v>127</v>
      </c>
      <c r="D1" s="17" t="s">
        <v>6</v>
      </c>
      <c r="E1" s="17" t="s">
        <v>7</v>
      </c>
      <c r="F1" s="17" t="s">
        <v>11</v>
      </c>
      <c r="G1" s="17" t="s">
        <v>123</v>
      </c>
      <c r="H1" s="17" t="s">
        <v>124</v>
      </c>
      <c r="I1" s="17" t="s">
        <v>42</v>
      </c>
    </row>
    <row r="2" spans="1:9" x14ac:dyDescent="0.4">
      <c r="A2" t="s">
        <v>132</v>
      </c>
      <c r="B2" t="s">
        <v>120</v>
      </c>
      <c r="C2" t="s">
        <v>125</v>
      </c>
      <c r="D2" t="s">
        <v>133</v>
      </c>
      <c r="E2" s="1">
        <v>46163</v>
      </c>
      <c r="F2">
        <v>260007</v>
      </c>
      <c r="G2">
        <v>5000</v>
      </c>
      <c r="H2">
        <v>1.5780000000000001</v>
      </c>
      <c r="I2" t="s">
        <v>134</v>
      </c>
    </row>
    <row r="3" spans="1:9" x14ac:dyDescent="0.4">
      <c r="A3" t="s">
        <v>132</v>
      </c>
      <c r="B3" t="s">
        <v>119</v>
      </c>
      <c r="C3" t="s">
        <v>125</v>
      </c>
      <c r="D3" t="s">
        <v>135</v>
      </c>
      <c r="E3" s="1">
        <v>46163</v>
      </c>
      <c r="F3">
        <v>260007</v>
      </c>
      <c r="G3">
        <v>2000</v>
      </c>
      <c r="H3">
        <v>1.5780000000000001</v>
      </c>
      <c r="I3" t="s">
        <v>134</v>
      </c>
    </row>
    <row r="4" spans="1:9" x14ac:dyDescent="0.4">
      <c r="A4" t="s">
        <v>132</v>
      </c>
      <c r="B4" t="s">
        <v>119</v>
      </c>
      <c r="C4" t="s">
        <v>125</v>
      </c>
      <c r="D4" t="s">
        <v>136</v>
      </c>
      <c r="E4" s="1">
        <v>46163</v>
      </c>
      <c r="F4">
        <v>260007</v>
      </c>
      <c r="G4">
        <v>3000</v>
      </c>
      <c r="H4">
        <v>1.5780000000000001</v>
      </c>
      <c r="I4" t="s">
        <v>134</v>
      </c>
    </row>
    <row r="5" spans="1:9" x14ac:dyDescent="0.4">
      <c r="A5" t="s">
        <v>137</v>
      </c>
      <c r="B5" t="s">
        <v>120</v>
      </c>
      <c r="C5" t="s">
        <v>125</v>
      </c>
      <c r="D5" t="s">
        <v>138</v>
      </c>
      <c r="E5" s="1">
        <v>46163</v>
      </c>
      <c r="F5">
        <v>250210</v>
      </c>
      <c r="G5">
        <v>5000</v>
      </c>
      <c r="H5">
        <v>1.81</v>
      </c>
      <c r="I5" t="s">
        <v>139</v>
      </c>
    </row>
    <row r="6" spans="1:9" x14ac:dyDescent="0.4">
      <c r="A6" t="s">
        <v>137</v>
      </c>
      <c r="B6" t="s">
        <v>119</v>
      </c>
      <c r="C6" t="s">
        <v>125</v>
      </c>
      <c r="D6" t="s">
        <v>140</v>
      </c>
      <c r="E6" s="1">
        <v>46163</v>
      </c>
      <c r="F6">
        <v>250210</v>
      </c>
      <c r="G6">
        <v>5000</v>
      </c>
      <c r="H6">
        <v>1.81</v>
      </c>
      <c r="I6" t="s">
        <v>139</v>
      </c>
    </row>
    <row r="7" spans="1:9" x14ac:dyDescent="0.4">
      <c r="A7" t="s">
        <v>141</v>
      </c>
      <c r="B7" t="s">
        <v>120</v>
      </c>
      <c r="C7" t="s">
        <v>125</v>
      </c>
      <c r="D7" t="s">
        <v>138</v>
      </c>
      <c r="E7" s="1">
        <v>46163</v>
      </c>
      <c r="F7">
        <v>250215</v>
      </c>
      <c r="G7">
        <v>1000</v>
      </c>
      <c r="H7">
        <v>1.8149999999999999</v>
      </c>
      <c r="I7" t="s">
        <v>142</v>
      </c>
    </row>
    <row r="8" spans="1:9" x14ac:dyDescent="0.4">
      <c r="A8" t="s">
        <v>141</v>
      </c>
      <c r="B8" t="s">
        <v>119</v>
      </c>
      <c r="C8" t="s">
        <v>125</v>
      </c>
      <c r="D8" t="s">
        <v>143</v>
      </c>
      <c r="E8" s="1">
        <v>46163</v>
      </c>
      <c r="F8">
        <v>250215</v>
      </c>
      <c r="G8">
        <v>1000</v>
      </c>
      <c r="H8">
        <v>1.8149999999999999</v>
      </c>
      <c r="I8" t="s">
        <v>142</v>
      </c>
    </row>
    <row r="9" spans="1:9" x14ac:dyDescent="0.4">
      <c r="A9" t="s">
        <v>144</v>
      </c>
      <c r="B9" t="s">
        <v>120</v>
      </c>
      <c r="C9" t="s">
        <v>125</v>
      </c>
      <c r="D9" t="s">
        <v>131</v>
      </c>
      <c r="E9" s="1">
        <v>46163</v>
      </c>
      <c r="F9">
        <v>260002</v>
      </c>
      <c r="G9">
        <v>4000</v>
      </c>
      <c r="H9">
        <v>2.2650000000000001</v>
      </c>
      <c r="I9" t="s">
        <v>145</v>
      </c>
    </row>
    <row r="10" spans="1:9" x14ac:dyDescent="0.4">
      <c r="A10" t="s">
        <v>144</v>
      </c>
      <c r="B10" t="s">
        <v>119</v>
      </c>
      <c r="C10" t="s">
        <v>125</v>
      </c>
      <c r="D10" t="s">
        <v>136</v>
      </c>
      <c r="E10" s="1">
        <v>46163</v>
      </c>
      <c r="F10">
        <v>260002</v>
      </c>
      <c r="G10">
        <v>3000</v>
      </c>
      <c r="H10">
        <v>2.2650000000000001</v>
      </c>
      <c r="I10" t="s">
        <v>145</v>
      </c>
    </row>
    <row r="11" spans="1:9" x14ac:dyDescent="0.4">
      <c r="A11" t="s">
        <v>144</v>
      </c>
      <c r="B11" t="s">
        <v>119</v>
      </c>
      <c r="C11" t="s">
        <v>125</v>
      </c>
      <c r="D11" t="s">
        <v>135</v>
      </c>
      <c r="E11" s="1">
        <v>46163</v>
      </c>
      <c r="F11">
        <v>260002</v>
      </c>
      <c r="G11">
        <v>1000</v>
      </c>
      <c r="H11">
        <v>2.2650000000000001</v>
      </c>
      <c r="I11" t="s">
        <v>145</v>
      </c>
    </row>
    <row r="12" spans="1:9" x14ac:dyDescent="0.4">
      <c r="A12" t="s">
        <v>146</v>
      </c>
      <c r="B12" t="s">
        <v>120</v>
      </c>
      <c r="C12" t="s">
        <v>125</v>
      </c>
      <c r="D12" t="s">
        <v>136</v>
      </c>
      <c r="E12" s="1">
        <v>46163</v>
      </c>
      <c r="F12">
        <v>2600002</v>
      </c>
      <c r="G12">
        <v>2000</v>
      </c>
      <c r="H12">
        <v>2.2324999999999999</v>
      </c>
      <c r="I12" t="s">
        <v>147</v>
      </c>
    </row>
    <row r="13" spans="1:9" x14ac:dyDescent="0.4">
      <c r="A13" t="s">
        <v>146</v>
      </c>
      <c r="B13" t="s">
        <v>120</v>
      </c>
      <c r="C13" t="s">
        <v>125</v>
      </c>
      <c r="D13" t="s">
        <v>148</v>
      </c>
      <c r="E13" s="1">
        <v>46163</v>
      </c>
      <c r="F13">
        <v>2600002</v>
      </c>
      <c r="G13">
        <v>1000</v>
      </c>
      <c r="H13">
        <v>2.2324999999999999</v>
      </c>
      <c r="I13" t="s">
        <v>147</v>
      </c>
    </row>
    <row r="14" spans="1:9" x14ac:dyDescent="0.4">
      <c r="A14" t="s">
        <v>146</v>
      </c>
      <c r="B14" t="s">
        <v>119</v>
      </c>
      <c r="C14" t="s">
        <v>125</v>
      </c>
      <c r="D14" t="s">
        <v>149</v>
      </c>
      <c r="E14" s="1">
        <v>46163</v>
      </c>
      <c r="F14">
        <v>2600002</v>
      </c>
      <c r="G14">
        <v>3000</v>
      </c>
      <c r="H14">
        <v>2.2324999999999999</v>
      </c>
      <c r="I14" t="s">
        <v>147</v>
      </c>
    </row>
    <row r="15" spans="1:9" x14ac:dyDescent="0.4">
      <c r="A15" t="s">
        <v>150</v>
      </c>
      <c r="B15" t="s">
        <v>120</v>
      </c>
      <c r="C15" t="s">
        <v>125</v>
      </c>
      <c r="D15" t="s">
        <v>131</v>
      </c>
      <c r="E15" s="1">
        <v>46163</v>
      </c>
      <c r="F15">
        <v>260002</v>
      </c>
      <c r="G15">
        <v>10000</v>
      </c>
      <c r="H15">
        <v>2.2679999999999998</v>
      </c>
      <c r="I15" t="s">
        <v>151</v>
      </c>
    </row>
    <row r="16" spans="1:9" x14ac:dyDescent="0.4">
      <c r="A16" t="s">
        <v>150</v>
      </c>
      <c r="B16" t="s">
        <v>119</v>
      </c>
      <c r="C16" t="s">
        <v>125</v>
      </c>
      <c r="D16" t="s">
        <v>126</v>
      </c>
      <c r="E16" s="1">
        <v>46163</v>
      </c>
      <c r="F16">
        <v>260002</v>
      </c>
      <c r="G16">
        <v>10000</v>
      </c>
      <c r="H16">
        <v>2.2679999999999998</v>
      </c>
      <c r="I16" t="s">
        <v>151</v>
      </c>
    </row>
    <row r="17" spans="1:9" x14ac:dyDescent="0.4">
      <c r="A17" t="s">
        <v>152</v>
      </c>
      <c r="B17" t="s">
        <v>120</v>
      </c>
      <c r="C17" t="s">
        <v>125</v>
      </c>
      <c r="D17" t="s">
        <v>129</v>
      </c>
      <c r="E17" s="1">
        <v>46163</v>
      </c>
      <c r="F17">
        <v>250215</v>
      </c>
      <c r="G17">
        <v>5000</v>
      </c>
      <c r="H17">
        <v>1.8129999999999999</v>
      </c>
      <c r="I17" t="s">
        <v>153</v>
      </c>
    </row>
    <row r="18" spans="1:9" x14ac:dyDescent="0.4">
      <c r="A18" t="s">
        <v>152</v>
      </c>
      <c r="B18" t="s">
        <v>119</v>
      </c>
      <c r="C18" t="s">
        <v>125</v>
      </c>
      <c r="D18" t="s">
        <v>154</v>
      </c>
      <c r="E18" s="1">
        <v>46163</v>
      </c>
      <c r="F18">
        <v>250215</v>
      </c>
      <c r="G18">
        <v>5000</v>
      </c>
      <c r="H18">
        <v>1.8129999999999999</v>
      </c>
      <c r="I18" t="s">
        <v>153</v>
      </c>
    </row>
    <row r="19" spans="1:9" x14ac:dyDescent="0.4">
      <c r="A19" t="s">
        <v>155</v>
      </c>
      <c r="B19" t="s">
        <v>120</v>
      </c>
      <c r="C19" t="s">
        <v>125</v>
      </c>
      <c r="D19" t="s">
        <v>156</v>
      </c>
      <c r="E19" s="1">
        <v>46163</v>
      </c>
      <c r="F19">
        <v>250014</v>
      </c>
      <c r="G19">
        <v>5000</v>
      </c>
      <c r="H19">
        <v>1.365</v>
      </c>
      <c r="I19" t="s">
        <v>157</v>
      </c>
    </row>
    <row r="20" spans="1:9" x14ac:dyDescent="0.4">
      <c r="A20" t="s">
        <v>155</v>
      </c>
      <c r="B20" t="s">
        <v>119</v>
      </c>
      <c r="C20" t="s">
        <v>125</v>
      </c>
      <c r="D20" t="s">
        <v>158</v>
      </c>
      <c r="E20" s="1">
        <v>46163</v>
      </c>
      <c r="F20">
        <v>250014</v>
      </c>
      <c r="G20">
        <v>5000</v>
      </c>
      <c r="H20">
        <v>1.365</v>
      </c>
      <c r="I20" t="s">
        <v>157</v>
      </c>
    </row>
    <row r="21" spans="1:9" x14ac:dyDescent="0.4">
      <c r="A21" t="s">
        <v>159</v>
      </c>
      <c r="B21" t="s">
        <v>120</v>
      </c>
      <c r="C21" t="s">
        <v>125</v>
      </c>
      <c r="D21" t="s">
        <v>160</v>
      </c>
      <c r="E21" s="1">
        <v>46163</v>
      </c>
      <c r="F21">
        <v>210220</v>
      </c>
      <c r="G21">
        <v>2000</v>
      </c>
      <c r="H21">
        <v>2.069</v>
      </c>
      <c r="I21" t="s">
        <v>161</v>
      </c>
    </row>
    <row r="22" spans="1:9" x14ac:dyDescent="0.4">
      <c r="A22" t="s">
        <v>159</v>
      </c>
      <c r="B22" t="s">
        <v>119</v>
      </c>
      <c r="C22" t="s">
        <v>125</v>
      </c>
      <c r="D22" t="s">
        <v>162</v>
      </c>
      <c r="E22" s="1">
        <v>46163</v>
      </c>
      <c r="F22">
        <v>210220</v>
      </c>
      <c r="G22">
        <v>2000</v>
      </c>
      <c r="H22">
        <v>2.069</v>
      </c>
      <c r="I22" t="s">
        <v>161</v>
      </c>
    </row>
    <row r="23" spans="1:9" x14ac:dyDescent="0.4">
      <c r="A23" t="s">
        <v>163</v>
      </c>
      <c r="B23" t="s">
        <v>120</v>
      </c>
      <c r="C23" t="s">
        <v>125</v>
      </c>
      <c r="D23" t="s">
        <v>129</v>
      </c>
      <c r="E23" s="1">
        <v>46163</v>
      </c>
      <c r="F23">
        <v>240205</v>
      </c>
      <c r="G23">
        <v>2000</v>
      </c>
      <c r="H23">
        <v>1.7375</v>
      </c>
      <c r="I23" t="s">
        <v>164</v>
      </c>
    </row>
    <row r="24" spans="1:9" x14ac:dyDescent="0.4">
      <c r="A24" t="s">
        <v>163</v>
      </c>
      <c r="B24" t="s">
        <v>119</v>
      </c>
      <c r="C24" t="s">
        <v>125</v>
      </c>
      <c r="D24" t="s">
        <v>165</v>
      </c>
      <c r="E24" s="1">
        <v>46163</v>
      </c>
      <c r="F24">
        <v>240205</v>
      </c>
      <c r="G24">
        <v>2000</v>
      </c>
      <c r="H24">
        <v>1.7375</v>
      </c>
      <c r="I24" t="s">
        <v>164</v>
      </c>
    </row>
    <row r="25" spans="1:9" x14ac:dyDescent="0.4">
      <c r="A25" t="s">
        <v>166</v>
      </c>
      <c r="B25" t="s">
        <v>120</v>
      </c>
      <c r="C25" t="s">
        <v>125</v>
      </c>
      <c r="D25" t="s">
        <v>167</v>
      </c>
      <c r="E25" s="1">
        <v>46163</v>
      </c>
      <c r="F25">
        <v>230210</v>
      </c>
      <c r="G25">
        <v>2000</v>
      </c>
      <c r="H25">
        <v>1.7</v>
      </c>
      <c r="I25" t="s">
        <v>168</v>
      </c>
    </row>
    <row r="26" spans="1:9" x14ac:dyDescent="0.4">
      <c r="A26" t="s">
        <v>166</v>
      </c>
      <c r="B26" t="s">
        <v>119</v>
      </c>
      <c r="C26" t="s">
        <v>125</v>
      </c>
      <c r="D26" t="s">
        <v>169</v>
      </c>
      <c r="E26" s="1">
        <v>46163</v>
      </c>
      <c r="F26">
        <v>230210</v>
      </c>
      <c r="G26">
        <v>2000</v>
      </c>
      <c r="H26">
        <v>1.7</v>
      </c>
      <c r="I26" t="s">
        <v>168</v>
      </c>
    </row>
    <row r="27" spans="1:9" x14ac:dyDescent="0.4">
      <c r="A27" t="s">
        <v>170</v>
      </c>
      <c r="B27" t="s">
        <v>120</v>
      </c>
      <c r="C27" t="s">
        <v>125</v>
      </c>
      <c r="D27" t="s">
        <v>171</v>
      </c>
      <c r="E27" s="1">
        <v>46163</v>
      </c>
      <c r="F27">
        <v>240013</v>
      </c>
      <c r="G27">
        <v>2000</v>
      </c>
      <c r="H27">
        <v>1.44</v>
      </c>
      <c r="I27" t="s">
        <v>172</v>
      </c>
    </row>
    <row r="28" spans="1:9" x14ac:dyDescent="0.4">
      <c r="A28" t="s">
        <v>170</v>
      </c>
      <c r="B28" t="s">
        <v>119</v>
      </c>
      <c r="C28" t="s">
        <v>125</v>
      </c>
      <c r="D28" t="s">
        <v>173</v>
      </c>
      <c r="E28" s="1">
        <v>46163</v>
      </c>
      <c r="F28">
        <v>240013</v>
      </c>
      <c r="G28">
        <v>2000</v>
      </c>
      <c r="H28">
        <v>1.44</v>
      </c>
      <c r="I28" t="s">
        <v>172</v>
      </c>
    </row>
    <row r="29" spans="1:9" s="3" customFormat="1" x14ac:dyDescent="0.4">
      <c r="A29" t="s">
        <v>174</v>
      </c>
      <c r="B29" t="s">
        <v>120</v>
      </c>
      <c r="C29" t="s">
        <v>125</v>
      </c>
      <c r="D29" t="s">
        <v>175</v>
      </c>
      <c r="E29" s="1">
        <v>46163</v>
      </c>
      <c r="F29">
        <v>260005</v>
      </c>
      <c r="G29">
        <v>20000</v>
      </c>
      <c r="H29">
        <v>1.7415</v>
      </c>
      <c r="I29" t="s">
        <v>176</v>
      </c>
    </row>
    <row r="30" spans="1:9" s="3" customFormat="1" x14ac:dyDescent="0.4">
      <c r="A30" t="s">
        <v>174</v>
      </c>
      <c r="B30" t="s">
        <v>119</v>
      </c>
      <c r="C30" t="s">
        <v>125</v>
      </c>
      <c r="D30" t="s">
        <v>177</v>
      </c>
      <c r="E30" s="1">
        <v>46163</v>
      </c>
      <c r="F30">
        <v>260005</v>
      </c>
      <c r="G30">
        <v>5000</v>
      </c>
      <c r="H30">
        <v>1.7415</v>
      </c>
      <c r="I30" t="s">
        <v>176</v>
      </c>
    </row>
    <row r="31" spans="1:9" s="3" customFormat="1" x14ac:dyDescent="0.4">
      <c r="A31" t="s">
        <v>174</v>
      </c>
      <c r="B31" t="s">
        <v>119</v>
      </c>
      <c r="C31" t="s">
        <v>125</v>
      </c>
      <c r="D31" t="s">
        <v>130</v>
      </c>
      <c r="E31" s="1">
        <v>46163</v>
      </c>
      <c r="F31">
        <v>260005</v>
      </c>
      <c r="G31">
        <v>5000</v>
      </c>
      <c r="H31">
        <v>1.7415</v>
      </c>
      <c r="I31" t="s">
        <v>176</v>
      </c>
    </row>
    <row r="32" spans="1:9" s="3" customFormat="1" x14ac:dyDescent="0.4">
      <c r="A32" t="s">
        <v>174</v>
      </c>
      <c r="B32" t="s">
        <v>119</v>
      </c>
      <c r="C32" t="s">
        <v>125</v>
      </c>
      <c r="D32" t="s">
        <v>178</v>
      </c>
      <c r="E32" s="1">
        <v>46163</v>
      </c>
      <c r="F32">
        <v>260005</v>
      </c>
      <c r="G32">
        <v>5000</v>
      </c>
      <c r="H32">
        <v>1.7415</v>
      </c>
      <c r="I32" t="s">
        <v>176</v>
      </c>
    </row>
    <row r="33" spans="1:9" s="3" customFormat="1" x14ac:dyDescent="0.4">
      <c r="A33" t="s">
        <v>174</v>
      </c>
      <c r="B33" t="s">
        <v>119</v>
      </c>
      <c r="C33" t="s">
        <v>125</v>
      </c>
      <c r="D33" t="s">
        <v>179</v>
      </c>
      <c r="E33" s="1">
        <v>46163</v>
      </c>
      <c r="F33">
        <v>260005</v>
      </c>
      <c r="G33">
        <v>5000</v>
      </c>
      <c r="H33">
        <v>1.7415</v>
      </c>
      <c r="I33" t="s">
        <v>176</v>
      </c>
    </row>
    <row r="34" spans="1:9" s="3" customFormat="1" x14ac:dyDescent="0.4">
      <c r="A34" t="s">
        <v>180</v>
      </c>
      <c r="B34" t="s">
        <v>120</v>
      </c>
      <c r="C34" t="s">
        <v>125</v>
      </c>
      <c r="D34" t="s">
        <v>181</v>
      </c>
      <c r="E34" s="1">
        <v>46163</v>
      </c>
      <c r="F34">
        <v>260205</v>
      </c>
      <c r="G34">
        <v>4000</v>
      </c>
      <c r="H34">
        <v>1.8075000000000001</v>
      </c>
      <c r="I34" t="s">
        <v>182</v>
      </c>
    </row>
    <row r="35" spans="1:9" s="3" customFormat="1" x14ac:dyDescent="0.4">
      <c r="A35" t="s">
        <v>180</v>
      </c>
      <c r="B35" t="s">
        <v>119</v>
      </c>
      <c r="C35" t="s">
        <v>125</v>
      </c>
      <c r="D35" t="s">
        <v>128</v>
      </c>
      <c r="E35" s="1">
        <v>46163</v>
      </c>
      <c r="F35">
        <v>260205</v>
      </c>
      <c r="G35">
        <v>4000</v>
      </c>
      <c r="H35">
        <v>1.8075000000000001</v>
      </c>
      <c r="I35" t="s">
        <v>182</v>
      </c>
    </row>
    <row r="36" spans="1:9" s="3" customFormat="1" x14ac:dyDescent="0.4">
      <c r="A36" t="s">
        <v>183</v>
      </c>
      <c r="B36" t="s">
        <v>120</v>
      </c>
      <c r="C36" t="s">
        <v>125</v>
      </c>
      <c r="D36" t="s">
        <v>184</v>
      </c>
      <c r="E36" s="1">
        <v>46163</v>
      </c>
      <c r="F36">
        <v>250215</v>
      </c>
      <c r="G36">
        <v>2000</v>
      </c>
      <c r="H36">
        <v>1.8154999999999999</v>
      </c>
      <c r="I36" t="s">
        <v>185</v>
      </c>
    </row>
    <row r="37" spans="1:9" s="3" customFormat="1" x14ac:dyDescent="0.4">
      <c r="A37" t="s">
        <v>183</v>
      </c>
      <c r="B37" t="s">
        <v>119</v>
      </c>
      <c r="C37" t="s">
        <v>125</v>
      </c>
      <c r="D37" t="s">
        <v>129</v>
      </c>
      <c r="E37" s="1">
        <v>46163</v>
      </c>
      <c r="F37">
        <v>250215</v>
      </c>
      <c r="G37">
        <v>2000</v>
      </c>
      <c r="H37">
        <v>1.8154999999999999</v>
      </c>
      <c r="I37" t="s">
        <v>185</v>
      </c>
    </row>
    <row r="38" spans="1:9" s="3" customFormat="1" x14ac:dyDescent="0.4">
      <c r="A38" t="s">
        <v>186</v>
      </c>
      <c r="B38" t="s">
        <v>120</v>
      </c>
      <c r="C38" t="s">
        <v>125</v>
      </c>
      <c r="D38" t="s">
        <v>187</v>
      </c>
      <c r="E38" s="1">
        <v>46163</v>
      </c>
      <c r="F38">
        <v>260205</v>
      </c>
      <c r="G38">
        <v>3000</v>
      </c>
      <c r="H38">
        <v>1.8109999999999999</v>
      </c>
      <c r="I38" t="s">
        <v>188</v>
      </c>
    </row>
    <row r="39" spans="1:9" s="3" customFormat="1" x14ac:dyDescent="0.4">
      <c r="A39" t="s">
        <v>186</v>
      </c>
      <c r="B39" t="s">
        <v>119</v>
      </c>
      <c r="C39" t="s">
        <v>125</v>
      </c>
      <c r="D39" t="s">
        <v>189</v>
      </c>
      <c r="E39" s="1">
        <v>46163</v>
      </c>
      <c r="F39">
        <v>260205</v>
      </c>
      <c r="G39">
        <v>2000</v>
      </c>
      <c r="H39">
        <v>1.8109999999999999</v>
      </c>
      <c r="I39" t="s">
        <v>188</v>
      </c>
    </row>
    <row r="40" spans="1:9" s="3" customFormat="1" x14ac:dyDescent="0.4">
      <c r="A40" t="s">
        <v>186</v>
      </c>
      <c r="B40" t="s">
        <v>119</v>
      </c>
      <c r="C40" t="s">
        <v>125</v>
      </c>
      <c r="D40" t="s">
        <v>190</v>
      </c>
      <c r="E40" s="1">
        <v>46163</v>
      </c>
      <c r="F40">
        <v>260205</v>
      </c>
      <c r="G40">
        <v>1000</v>
      </c>
      <c r="H40">
        <v>1.8109999999999999</v>
      </c>
      <c r="I40" t="s">
        <v>188</v>
      </c>
    </row>
    <row r="41" spans="1:9" s="3" customFormat="1" x14ac:dyDescent="0.4">
      <c r="A41"/>
      <c r="B41"/>
      <c r="C41"/>
      <c r="D41"/>
      <c r="E41"/>
      <c r="F41"/>
      <c r="G41"/>
      <c r="H41"/>
      <c r="I41"/>
    </row>
    <row r="42" spans="1:9" s="3" customFormat="1" x14ac:dyDescent="0.4">
      <c r="A42"/>
      <c r="B42"/>
      <c r="C42"/>
      <c r="D42"/>
      <c r="E42"/>
      <c r="F42"/>
      <c r="G42"/>
      <c r="H42"/>
      <c r="I42"/>
    </row>
    <row r="43" spans="1:9" s="3" customFormat="1" x14ac:dyDescent="0.4">
      <c r="A43"/>
      <c r="B43"/>
      <c r="C43"/>
      <c r="D43"/>
      <c r="E43"/>
      <c r="F43"/>
      <c r="G43"/>
      <c r="H43"/>
      <c r="I43"/>
    </row>
    <row r="44" spans="1:9" s="3" customFormat="1" x14ac:dyDescent="0.4">
      <c r="A44"/>
      <c r="B44"/>
      <c r="C44"/>
      <c r="D44"/>
      <c r="E44"/>
      <c r="F44"/>
      <c r="G44"/>
      <c r="H44"/>
      <c r="I44"/>
    </row>
    <row r="45" spans="1:9" s="3" customFormat="1" x14ac:dyDescent="0.4">
      <c r="A45"/>
      <c r="B45"/>
      <c r="C45"/>
      <c r="D45"/>
      <c r="E45"/>
      <c r="F45"/>
      <c r="G45"/>
      <c r="H45"/>
      <c r="I45"/>
    </row>
    <row r="46" spans="1:9" s="3" customFormat="1" x14ac:dyDescent="0.4">
      <c r="A46"/>
      <c r="B46"/>
      <c r="C46"/>
      <c r="D46"/>
      <c r="E46"/>
      <c r="F46"/>
      <c r="G46"/>
      <c r="H46"/>
      <c r="I46"/>
    </row>
    <row r="47" spans="1:9" s="3" customFormat="1" x14ac:dyDescent="0.4">
      <c r="A47"/>
      <c r="B47"/>
      <c r="C47"/>
      <c r="D47"/>
      <c r="E47"/>
      <c r="F47"/>
      <c r="G47"/>
      <c r="H47"/>
      <c r="I47"/>
    </row>
    <row r="48" spans="1:9" s="3" customFormat="1" x14ac:dyDescent="0.4">
      <c r="A48"/>
      <c r="B48"/>
      <c r="C48"/>
      <c r="D48"/>
      <c r="E48"/>
      <c r="F48"/>
      <c r="G48"/>
      <c r="H48"/>
      <c r="I48"/>
    </row>
    <row r="49" spans="1:9" s="3" customFormat="1" x14ac:dyDescent="0.4">
      <c r="A49"/>
      <c r="B49"/>
      <c r="C49"/>
      <c r="D49"/>
      <c r="E49"/>
      <c r="F49"/>
      <c r="G49"/>
      <c r="H49"/>
      <c r="I49"/>
    </row>
    <row r="50" spans="1:9" s="3" customFormat="1" x14ac:dyDescent="0.4">
      <c r="A50"/>
      <c r="B50"/>
      <c r="C50"/>
      <c r="D50"/>
      <c r="E50"/>
      <c r="F50"/>
      <c r="G50"/>
      <c r="H50"/>
      <c r="I50"/>
    </row>
    <row r="51" spans="1:9" s="3" customFormat="1" x14ac:dyDescent="0.4">
      <c r="A51"/>
      <c r="B51"/>
      <c r="C51"/>
      <c r="D51"/>
      <c r="E51"/>
      <c r="F51"/>
      <c r="G51"/>
      <c r="H51"/>
      <c r="I51"/>
    </row>
    <row r="52" spans="1:9" s="3" customFormat="1" x14ac:dyDescent="0.4">
      <c r="A52"/>
      <c r="B52"/>
      <c r="C52"/>
      <c r="D52"/>
      <c r="E52"/>
      <c r="F52"/>
      <c r="G52"/>
      <c r="H52"/>
      <c r="I52"/>
    </row>
    <row r="53" spans="1:9" s="3" customFormat="1" x14ac:dyDescent="0.4">
      <c r="A53"/>
      <c r="B53"/>
      <c r="C53"/>
      <c r="D53"/>
      <c r="E53"/>
      <c r="F53"/>
      <c r="G53"/>
      <c r="H53"/>
      <c r="I53"/>
    </row>
    <row r="54" spans="1:9" s="3" customFormat="1" x14ac:dyDescent="0.4">
      <c r="A54"/>
      <c r="B54"/>
      <c r="C54"/>
      <c r="D54"/>
      <c r="E54"/>
      <c r="F54"/>
      <c r="G54"/>
      <c r="H54"/>
      <c r="I54"/>
    </row>
    <row r="55" spans="1:9" s="3" customFormat="1" x14ac:dyDescent="0.4">
      <c r="A55"/>
      <c r="B55"/>
      <c r="C55"/>
      <c r="D55"/>
      <c r="E55"/>
      <c r="F55"/>
      <c r="G55"/>
      <c r="H55"/>
      <c r="I55"/>
    </row>
    <row r="56" spans="1:9" s="3" customFormat="1" x14ac:dyDescent="0.4">
      <c r="A56"/>
      <c r="B56"/>
      <c r="C56"/>
      <c r="D56"/>
      <c r="E56"/>
      <c r="F56"/>
      <c r="G56"/>
      <c r="H56"/>
      <c r="I56"/>
    </row>
    <row r="57" spans="1:9" s="3" customFormat="1" x14ac:dyDescent="0.4">
      <c r="A57"/>
      <c r="B57"/>
      <c r="C57"/>
      <c r="D57"/>
      <c r="E57"/>
      <c r="F57"/>
      <c r="G57"/>
      <c r="H57"/>
      <c r="I57"/>
    </row>
    <row r="58" spans="1:9" s="3" customFormat="1" x14ac:dyDescent="0.4">
      <c r="A58"/>
      <c r="B58"/>
      <c r="C58"/>
      <c r="D58"/>
      <c r="E58"/>
      <c r="F58"/>
      <c r="G58"/>
      <c r="H58"/>
      <c r="I58"/>
    </row>
    <row r="59" spans="1:9" s="3" customFormat="1" x14ac:dyDescent="0.4">
      <c r="A59"/>
      <c r="B59"/>
      <c r="C59"/>
      <c r="D59"/>
      <c r="E59"/>
      <c r="F59"/>
      <c r="G59"/>
      <c r="H59"/>
      <c r="I59"/>
    </row>
    <row r="60" spans="1:9" x14ac:dyDescent="0.4">
      <c r="E60"/>
      <c r="H60"/>
      <c r="I60"/>
    </row>
    <row r="61" spans="1:9" x14ac:dyDescent="0.4">
      <c r="E61"/>
      <c r="H61"/>
      <c r="I61"/>
    </row>
    <row r="62" spans="1:9" x14ac:dyDescent="0.4">
      <c r="E62"/>
      <c r="H62"/>
      <c r="I62"/>
    </row>
    <row r="63" spans="1:9" x14ac:dyDescent="0.4">
      <c r="E63"/>
      <c r="H63"/>
      <c r="I63"/>
    </row>
    <row r="64" spans="1:9" x14ac:dyDescent="0.4">
      <c r="E64"/>
      <c r="H64"/>
      <c r="I64"/>
    </row>
    <row r="65" customFormat="1" x14ac:dyDescent="0.4"/>
    <row r="66" customFormat="1" x14ac:dyDescent="0.4"/>
    <row r="67" customFormat="1" x14ac:dyDescent="0.4"/>
    <row r="68" customFormat="1" x14ac:dyDescent="0.4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文旭 周</cp:lastModifiedBy>
  <cp:revision>1</cp:revision>
  <dcterms:created xsi:type="dcterms:W3CDTF">1996-12-17T01:32:42Z</dcterms:created>
  <dcterms:modified xsi:type="dcterms:W3CDTF">2026-05-21T02:30:03Z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695AD0350D364159902F482E1D721C8B_13</vt:lpwstr>
  </property>
  <property fmtid="{D5CDD505-2E9C-101B-9397-08002B2CF9AE}" pid="3" name="KSOProductBuildVer">
    <vt:lpwstr>2052-12.8.2.19296</vt:lpwstr>
  </property>
  <property fmtid="{D5CDD505-2E9C-101B-9397-08002B2CF9AE}" pid="4" name="EM_Doc_Temp_ID">
    <vt:lpwstr>3C49C1DD-2273-4E2E-9E43-32EEEC173ACF</vt:lpwstr>
  </property>
</Properties>
</file>